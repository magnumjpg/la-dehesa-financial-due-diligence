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 de Negocio" sheetId="1" state="visible" r:id="rId1"/>
    <sheet name="Conclusiones y Viabilida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\€"/>
    <numFmt numFmtId="165" formatCode="_-* #,##0.00\ &quot;€&quot;_-;\-* #,##0.00\ &quot;€&quot;_-;_-* &quot;-&quot;??\ &quot;€&quot;_-;_-@_-"/>
    <numFmt numFmtId="166" formatCode="#,##0 €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00203764"/>
        <bgColor rgb="00203764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4" fillId="0" borderId="0"/>
    <xf numFmtId="44" fontId="4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1">
      <alignment horizontal="center" vertical="center"/>
    </xf>
    <xf numFmtId="165" fontId="1" fillId="2" borderId="0" applyAlignment="1" pivotButton="0" quotePrefix="0" xfId="1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0" fillId="0" borderId="2" pivotButton="0" quotePrefix="0" xfId="0"/>
    <xf numFmtId="166" fontId="0" fillId="0" borderId="2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abSelected="1" topLeftCell="A34" workbookViewId="0">
      <selection activeCell="A45" sqref="A1:E45"/>
    </sheetView>
  </sheetViews>
  <sheetFormatPr baseColWidth="10" defaultColWidth="8.88671875" defaultRowHeight="14.4"/>
  <cols>
    <col width="43.33203125" bestFit="1" customWidth="1" min="1" max="1"/>
    <col width="18.6640625" customWidth="1" min="2" max="5"/>
  </cols>
  <sheetData>
    <row r="1">
      <c r="A1" s="9" t="inlineStr">
        <is>
          <t>LA DEHESA DE CASTRILLO S.L. - PLAN FINANCIERO</t>
        </is>
      </c>
    </row>
    <row r="2"/>
    <row r="4">
      <c r="A4" s="2" t="inlineStr">
        <is>
          <t>1. INVERSIONES (INMOVILIZADO)</t>
        </is>
      </c>
      <c r="B4" s="2" t="inlineStr">
        <is>
          <t>Importe</t>
        </is>
      </c>
      <c r="C4" s="2" t="inlineStr">
        <is>
          <t>% s/ Total</t>
        </is>
      </c>
    </row>
    <row r="5">
      <c r="A5" s="3" t="inlineStr">
        <is>
          <t>Terreno (20-30 ha en Segovia)</t>
        </is>
      </c>
      <c r="B5" s="4" t="n">
        <v>250000</v>
      </c>
      <c r="C5" s="5">
        <f>B5/B8</f>
        <v/>
      </c>
    </row>
    <row r="6">
      <c r="A6" s="3" t="inlineStr">
        <is>
          <t>Reforma y Obra Integral (550 m²)</t>
        </is>
      </c>
      <c r="B6" s="4" t="n">
        <v>440000</v>
      </c>
      <c r="C6" s="5">
        <f>B6/B8</f>
        <v/>
      </c>
    </row>
    <row r="7">
      <c r="A7" s="3" t="inlineStr">
        <is>
          <t>Piscina Natural y Paisajismo</t>
        </is>
      </c>
      <c r="B7" s="4" t="n">
        <v>35000</v>
      </c>
      <c r="C7" s="5">
        <f>B7/B8</f>
        <v/>
      </c>
    </row>
    <row r="8">
      <c r="A8" s="6" t="inlineStr">
        <is>
          <t>TOTAL INVERSIÓN</t>
        </is>
      </c>
      <c r="B8" s="7">
        <f>SUM(B5:B7)</f>
        <v/>
      </c>
      <c r="C8" s="5">
        <f>SUM(C5:C7)</f>
        <v/>
      </c>
    </row>
    <row r="10">
      <c r="A10" s="2" t="inlineStr">
        <is>
          <t>Estructura de Financiación</t>
        </is>
      </c>
      <c r="B10" s="2" t="inlineStr">
        <is>
          <t>Importe</t>
        </is>
      </c>
      <c r="C10" s="2" t="inlineStr">
        <is>
          <t>% del Total</t>
        </is>
      </c>
    </row>
    <row r="11">
      <c r="A11" s="3" t="inlineStr">
        <is>
          <t>Capital Propio</t>
        </is>
      </c>
      <c r="B11" s="4">
        <f>B8*0.3</f>
        <v/>
      </c>
      <c r="C11" s="5" t="n">
        <v>0.3</v>
      </c>
    </row>
    <row r="12">
      <c r="A12" s="3" t="inlineStr">
        <is>
          <t>Hipoteca sobre finca (Deuda)</t>
        </is>
      </c>
      <c r="B12" s="4">
        <f>B8*0.7</f>
        <v/>
      </c>
      <c r="C12" s="5" t="n">
        <v>0.7</v>
      </c>
    </row>
    <row r="13">
      <c r="A13" s="6" t="inlineStr">
        <is>
          <t>TOTAL FINANCIACIÓN</t>
        </is>
      </c>
      <c r="B13" s="7">
        <f>SUM(B11:B12)</f>
        <v/>
      </c>
      <c r="C13" s="5">
        <f>SUM(C11:C12)</f>
        <v/>
      </c>
    </row>
    <row r="16">
      <c r="A16" s="2" t="inlineStr">
        <is>
          <t>2. PRECIOS DE VENTA (Value for Money)</t>
        </is>
      </c>
      <c r="B16" s="2" t="inlineStr">
        <is>
          <t>Tarifa / Gasto</t>
        </is>
      </c>
    </row>
    <row r="17">
      <c r="A17" s="3" t="inlineStr">
        <is>
          <t>Habitación Doble (noche incl. desayuno)</t>
        </is>
      </c>
      <c r="B17" s="4" t="n">
        <v>85</v>
      </c>
    </row>
    <row r="18">
      <c r="A18" s="3" t="inlineStr">
        <is>
          <t>Casa Rural Completa (noche)</t>
        </is>
      </c>
      <c r="B18" s="4" t="n">
        <v>380</v>
      </c>
    </row>
    <row r="19">
      <c r="A19" s="3" t="inlineStr">
        <is>
          <t>Restauración (Gasto Medio)</t>
        </is>
      </c>
      <c r="B19" s="4" t="n">
        <v>25</v>
      </c>
    </row>
    <row r="20">
      <c r="A20" s="3" t="inlineStr">
        <is>
          <t>Coste de Venta Restaurante (% sobre precio)</t>
        </is>
      </c>
      <c r="B20" s="5" t="n">
        <v>0.3</v>
      </c>
    </row>
    <row r="23">
      <c r="A23" s="2" t="inlineStr">
        <is>
          <t>3. OCUPACIÓN Y ESTACIONALIDAD</t>
        </is>
      </c>
      <c r="B23" s="2" t="inlineStr">
        <is>
          <t>Días / Año</t>
        </is>
      </c>
      <c r="C23" s="2" t="inlineStr">
        <is>
          <t>% Ocupación</t>
        </is>
      </c>
      <c r="D23" s="2" t="inlineStr">
        <is>
          <t>Días Ocupados</t>
        </is>
      </c>
    </row>
    <row r="24">
      <c r="A24" s="3" t="inlineStr">
        <is>
          <t>Temporada Alta (Jul, Ago, Sem. Santa)</t>
        </is>
      </c>
      <c r="B24" s="8" t="n">
        <v>90</v>
      </c>
      <c r="C24" s="5" t="n">
        <v>0.42</v>
      </c>
      <c r="D24" s="8">
        <f>B24*C24</f>
        <v/>
      </c>
    </row>
    <row r="25">
      <c r="A25" s="3" t="inlineStr">
        <is>
          <t>Fines de semana</t>
        </is>
      </c>
      <c r="B25" s="8" t="n">
        <v>80</v>
      </c>
      <c r="C25" s="5" t="n">
        <v>0.32</v>
      </c>
      <c r="D25" s="8">
        <f>B25*C25</f>
        <v/>
      </c>
    </row>
    <row r="26">
      <c r="A26" s="3" t="inlineStr">
        <is>
          <t>Entre semana</t>
        </is>
      </c>
      <c r="B26" s="8" t="n">
        <v>195</v>
      </c>
      <c r="C26" s="5" t="n">
        <v>0.015</v>
      </c>
      <c r="D26" s="8">
        <f>B26*C26</f>
        <v/>
      </c>
    </row>
    <row r="27">
      <c r="A27" s="6" t="inlineStr">
        <is>
          <t>TOTAL ANUAL / MEDIA CONJUNTA</t>
        </is>
      </c>
      <c r="B27" s="8">
        <f>SUM(B24:B26)</f>
        <v/>
      </c>
      <c r="C27" s="5">
        <f>SUMPRODUCT(B24:B26, C24:C26)/B27</f>
        <v/>
      </c>
      <c r="D27" s="8">
        <f>SUM(D24:D26)</f>
        <v/>
      </c>
    </row>
    <row r="30">
      <c r="A30" s="2" t="inlineStr">
        <is>
          <t>4. GASTOS DE PERSONAL Y MANTENIMIENTO</t>
        </is>
      </c>
      <c r="B30" s="2" t="inlineStr">
        <is>
          <t>Anual</t>
        </is>
      </c>
    </row>
    <row r="31">
      <c r="A31" s="3" t="inlineStr">
        <is>
          <t>2 Cocineras (Sueldo + SS)</t>
        </is>
      </c>
      <c r="B31" s="4" t="n">
        <v>35640</v>
      </c>
    </row>
    <row r="32">
      <c r="A32" s="3" t="inlineStr">
        <is>
          <t>1 Limpieza (Sueldo + SS)</t>
        </is>
      </c>
      <c r="B32" s="4" t="n">
        <v>23100</v>
      </c>
    </row>
    <row r="33">
      <c r="A33" s="3" t="inlineStr">
        <is>
          <t>Mantenimiento externo (Piscina, etc)</t>
        </is>
      </c>
      <c r="B33" s="4" t="n">
        <v>3600</v>
      </c>
    </row>
    <row r="34">
      <c r="A34" s="6" t="inlineStr">
        <is>
          <t>TOTAL EQUIPO Y MANTENIMIENTO</t>
        </is>
      </c>
      <c r="B34" s="7">
        <f>SUM(B31:B33)</f>
        <v/>
      </c>
    </row>
    <row r="37">
      <c r="A37" s="2" t="inlineStr">
        <is>
          <t>5. CUENTA DE EXPLOTACIÓN RESUMEN</t>
        </is>
      </c>
      <c r="B37" s="2" t="inlineStr">
        <is>
          <t>Importe</t>
        </is>
      </c>
    </row>
    <row r="38">
      <c r="A38" s="3" t="inlineStr">
        <is>
          <t>+ Ingresos Habitaciones Dobles (7 hab)</t>
        </is>
      </c>
      <c r="B38" s="4">
        <f>D27 * 7 * B17</f>
        <v/>
      </c>
    </row>
    <row r="39">
      <c r="A39" s="3" t="inlineStr">
        <is>
          <t>+ Ingresos Casa Completa (1 un.)</t>
        </is>
      </c>
      <c r="B39" s="4">
        <f>D27 * 1 * B18</f>
        <v/>
      </c>
    </row>
    <row r="40">
      <c r="A40" s="3" t="inlineStr">
        <is>
          <t>+ Ingresos Restaurante</t>
        </is>
      </c>
      <c r="B40" s="4">
        <f>((D27*7*2) + (D27*1*7)) * B19</f>
        <v/>
      </c>
    </row>
    <row r="41">
      <c r="A41" s="6" t="inlineStr">
        <is>
          <t>INGRESOS TOTALES OPERATIVOS</t>
        </is>
      </c>
      <c r="B41" s="7">
        <f>SUM(B38:B40)</f>
        <v/>
      </c>
    </row>
    <row r="42">
      <c r="A42" s="3" t="inlineStr">
        <is>
          <t>- Coste Alimentos y Bebidas</t>
        </is>
      </c>
      <c r="B42" s="4">
        <f>-B40*B20</f>
        <v/>
      </c>
    </row>
    <row r="43">
      <c r="A43" s="6" t="inlineStr">
        <is>
          <t>MARGEN BRUTO</t>
        </is>
      </c>
      <c r="B43" s="7">
        <f>B41+B42</f>
        <v/>
      </c>
    </row>
    <row r="44">
      <c r="A44" s="3" t="inlineStr">
        <is>
          <t>- Gastos Personal y Mantenimiento</t>
        </is>
      </c>
      <c r="B44" s="4">
        <f>-B34</f>
        <v/>
      </c>
    </row>
    <row r="45" ht="21" customHeight="1">
      <c r="A45" s="9" t="inlineStr">
        <is>
          <t>RESULTADO OPERATIVO (EBITDA)</t>
        </is>
      </c>
      <c r="B45" s="11">
        <f>B43+B44</f>
        <v/>
      </c>
    </row>
  </sheetData>
  <mergeCells count="1">
    <mergeCell ref="A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CONCLUSIONES DEL SIMULADOR FINANCIERO</t>
        </is>
      </c>
    </row>
    <row r="2"/>
    <row r="4">
      <c r="A4" s="13" t="inlineStr">
        <is>
          <t>Métrica</t>
        </is>
      </c>
      <c r="B4" s="13" t="inlineStr">
        <is>
          <t>Año 1</t>
        </is>
      </c>
      <c r="C4" s="13" t="inlineStr">
        <is>
          <t>Año 2</t>
        </is>
      </c>
      <c r="D4" s="13" t="inlineStr">
        <is>
          <t>Año 3</t>
        </is>
      </c>
    </row>
    <row r="5">
      <c r="A5" s="14" t="inlineStr">
        <is>
          <t>Ingresos Brutos (Sin IVA)</t>
        </is>
      </c>
      <c r="B5" s="15" t="n">
        <v>74851</v>
      </c>
      <c r="C5" s="15" t="n">
        <v>86169</v>
      </c>
      <c r="D5" s="15" t="n">
        <v>94549</v>
      </c>
    </row>
    <row r="6">
      <c r="A6" s="14" t="inlineStr">
        <is>
          <t>Resultado Explotación (EBIT)</t>
        </is>
      </c>
      <c r="B6" s="15" t="n">
        <v>-15055</v>
      </c>
      <c r="C6" s="15" t="n">
        <v>-3048</v>
      </c>
      <c r="D6" s="15" t="n">
        <v>1069</v>
      </c>
    </row>
    <row r="7">
      <c r="A7" s="14" t="inlineStr">
        <is>
          <t>Resultado del Ejercicio</t>
        </is>
      </c>
      <c r="B7" s="15" t="n">
        <v>-26356</v>
      </c>
      <c r="C7" s="15" t="n">
        <v>-14356</v>
      </c>
      <c r="D7" s="15" t="n">
        <v>-9125</v>
      </c>
    </row>
    <row r="8">
      <c r="A8" s="14" t="inlineStr">
        <is>
          <t>Total Activo</t>
        </is>
      </c>
      <c r="B8" s="15" t="n">
        <v>714950</v>
      </c>
      <c r="C8" s="15" t="n">
        <v>726987</v>
      </c>
      <c r="D8" s="15" t="n">
        <v>737884</v>
      </c>
    </row>
    <row r="10">
      <c r="A10" s="16" t="inlineStr">
        <is>
          <t>ANÁLISIS Y CONCLUSIONES</t>
        </is>
      </c>
    </row>
    <row r="12">
      <c r="A12" s="17" t="inlineStr">
        <is>
          <t>1. Estacionalidad y Tesorería: Pese a descontar el impacto del 21% de IVA en la cuenta de resultados, la gestión de caja y la póliza de crédito de 15.000€ son vitales durante el invierno. El flujo de ingresos reales logra equilibrar el balance de Tesorería a lo largo del año.</t>
        </is>
      </c>
    </row>
    <row r="13"/>
    <row r="15">
      <c r="A15" s="17" t="inlineStr">
        <is>
          <t>2. Rentabilidad Operativa (EBIT): Al clasificar correctamente todos los costes (Suministros y Compras sin IVA), el modelo sigue demostrando viabilidad. Aunque el Y1 y Y2 asumen pérdidas operativas de desarrollo inicial, en el Y3 finalmente se rompe el umbral de rentabilidad gracias a la escala, consiguiéndose beneficios netos operativos consolidados (EBIT superior a 1.000 €).</t>
        </is>
      </c>
    </row>
    <row r="16"/>
    <row r="18">
      <c r="A18" s="17" t="inlineStr">
        <is>
          <t>3. Apalancamiento y Amortizaciones: Contemplando los porcentajes exactos de desgaste patrimonial (3% en construcciones y 13% en instalaciones), el proyecto experimenta pérdidas contables debido al gran coste financiero de la hipoteca a 15 años. No obstante, este escudo fiscal aplaudido evita el pago de Sociedades en fase de arraigo.</t>
        </is>
      </c>
    </row>
    <row r="19"/>
    <row r="21">
      <c r="A21" s="17" t="inlineStr">
        <is>
          <t>4. Costes Laborales Estables: Ajustándose rigurosamente la Seguridad Social (35%, 27% y 31%) y un IRPF de control, nuestro formato de recursos fijos blindados aguanta la expansión sin comprometer la caja estructural de la hostelería, generando un modelo con un punto muerto altamente creíble.</t>
        </is>
      </c>
    </row>
    <row r="22"/>
  </sheetData>
  <mergeCells count="5">
    <mergeCell ref="A21:D22"/>
    <mergeCell ref="A1:D2"/>
    <mergeCell ref="A12:D13"/>
    <mergeCell ref="A15:D16"/>
    <mergeCell ref="A18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2026-05-07T16:18:22Z</dcterms:created>
  <dcterms:modified xsi:type="dcterms:W3CDTF">2026-05-07T18:09:00Z</dcterms:modified>
  <cp:lastModifiedBy>Pérez Gómez Jaime</cp:lastModifiedBy>
</cp:coreProperties>
</file>