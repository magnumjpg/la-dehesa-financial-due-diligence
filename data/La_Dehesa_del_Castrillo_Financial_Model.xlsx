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 &amp; Checks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ive Model" sheetId="3" state="visible" r:id="rId3"/>
    <sheet xmlns:r="http://schemas.openxmlformats.org/officeDocument/2006/relationships" name="Funding &amp; Audit" sheetId="4" state="visible" r:id="rId4"/>
    <sheet xmlns:r="http://schemas.openxmlformats.org/officeDocument/2006/relationships" name="Executive Scorecard" sheetId="5" state="visible" r:id="rId5"/>
    <sheet xmlns:r="http://schemas.openxmlformats.org/officeDocument/2006/relationships" name="3-Statement Model" sheetId="6" state="visible" r:id="rId6"/>
    <sheet xmlns:r="http://schemas.openxmlformats.org/officeDocument/2006/relationships" name="Debt Schedule" sheetId="7" state="visible" r:id="rId7"/>
    <sheet xmlns:r="http://schemas.openxmlformats.org/officeDocument/2006/relationships" name="Scenario Stress-Testing" sheetId="8" state="visible" r:id="rId8"/>
    <sheet xmlns:r="http://schemas.openxmlformats.org/officeDocument/2006/relationships" name="Monte Carlo Risk" sheetId="9" state="visible" r:id="rId9"/>
    <sheet xmlns:r="http://schemas.openxmlformats.org/officeDocument/2006/relationships" name="Credit Risk &amp; Copula" sheetId="10" state="visible" r:id="rId10"/>
    <sheet xmlns:r="http://schemas.openxmlformats.org/officeDocument/2006/relationships" name="Unit Economics &amp; Runway" sheetId="11" state="visible" r:id="rId11"/>
    <sheet xmlns:r="http://schemas.openxmlformats.org/officeDocument/2006/relationships" name="Phase II Expans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1E3A8A"/>
      <sz val="14"/>
    </font>
    <font>
      <name val="Calibri"/>
      <i val="1"/>
      <color rgb="0064748B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1D4ED8"/>
      <sz val="11"/>
    </font>
  </fonts>
  <fills count="8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4" fillId="0" borderId="1" pivotButton="0" quotePrefix="0" xfId="0"/>
    <xf numFmtId="10" fontId="4" fillId="0" borderId="1" pivotButton="0" quotePrefix="0" xfId="0"/>
    <xf numFmtId="4" fontId="4" fillId="0" borderId="1" pivotButton="0" quotePrefix="0" xfId="0"/>
    <xf numFmtId="0" fontId="5" fillId="0" borderId="1" applyAlignment="1" pivotButton="0" quotePrefix="0" xfId="0">
      <alignment horizontal="center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0" fontId="6" fillId="5" borderId="1" pivotButton="0" quotePrefix="0" xfId="0"/>
    <xf numFmtId="0" fontId="2" fillId="0" borderId="1" pivotButton="0" quotePrefix="0" xfId="0"/>
    <xf numFmtId="3" fontId="6" fillId="5" borderId="1" pivotButton="0" quotePrefix="0" xfId="0"/>
    <xf numFmtId="4" fontId="6" fillId="5" borderId="1" pivotButton="0" quotePrefix="0" xfId="0"/>
    <xf numFmtId="10" fontId="0" fillId="0" borderId="1" pivotButton="0" quotePrefix="0" xfId="0"/>
    <xf numFmtId="164" fontId="0" fillId="0" borderId="1" pivotButton="0" quotePrefix="0" xfId="0"/>
    <xf numFmtId="4" fontId="0" fillId="0" borderId="1" pivotButton="0" quotePrefix="0" xfId="0"/>
    <xf numFmtId="2" fontId="0" fillId="0" borderId="1" pivotButton="0" quotePrefix="0" xfId="0"/>
    <xf numFmtId="4" fontId="0" fillId="0" borderId="0" pivotButton="0" quotePrefix="0" xfId="0"/>
    <xf numFmtId="2" fontId="0" fillId="0" borderId="0" pivotButton="0" quotePrefix="0" xfId="0"/>
    <xf numFmtId="2" fontId="4" fillId="0" borderId="1" pivotButton="0" quotePrefix="0" xfId="0"/>
    <xf numFmtId="0" fontId="5" fillId="0" borderId="0" applyAlignment="1" pivotButton="0" quotePrefix="0" xfId="0">
      <alignment horizontal="center"/>
    </xf>
    <xf numFmtId="0" fontId="5" fillId="6" borderId="1" pivotButton="0" quotePrefix="0" xfId="0"/>
    <xf numFmtId="0" fontId="5" fillId="7" borderId="1" pivotButton="0" quotePrefix="0" xfId="0"/>
    <xf numFmtId="0" fontId="5" fillId="6" borderId="1" applyAlignment="1" pivotButton="0" quotePrefix="0" xfId="0">
      <alignment horizontal="center"/>
    </xf>
    <xf numFmtId="49" fontId="4" fillId="0" borderId="1" pivotButton="0" quotePrefix="0" xfId="0"/>
    <xf numFmtId="0" fontId="5" fillId="7" borderId="1" applyAlignment="1" pivotButton="0" quotePrefix="0" xfId="0">
      <alignment horizontal="center"/>
    </xf>
    <xf numFmtId="0" fontId="5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/>
    </xf>
    <xf numFmtId="0" fontId="4" fillId="3" borderId="1" pivotButton="0" quotePrefix="0" xfId="0"/>
    <xf numFmtId="0" fontId="4" fillId="3" borderId="1" applyAlignment="1" pivotButton="0" quotePrefix="0" xfId="0">
      <alignment horizontal="right"/>
    </xf>
    <xf numFmtId="0" fontId="3" fillId="2" borderId="0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55" customWidth="1" min="2" max="2"/>
    <col width="22" customWidth="1" min="3" max="3"/>
    <col width="22" customWidth="1" min="4" max="4"/>
    <col width="22" customWidth="1" min="5" max="5"/>
    <col width="30" customWidth="1" min="6" max="6"/>
  </cols>
  <sheetData>
    <row r="1">
      <c r="A1" s="1" t="inlineStr">
        <is>
          <t>LA DEHESA DEL CASTRILLO S.L. - MODEL MAP, CASES &amp; INTEGRITY CHECKS</t>
        </is>
      </c>
    </row>
    <row r="2">
      <c r="A2" s="2" t="inlineStr">
        <is>
          <t>This workbook contains a live, formula-driven management case plus the independent INE market case and the original promoter case.</t>
        </is>
      </c>
    </row>
    <row r="4">
      <c r="A4" s="3" t="inlineStr">
        <is>
          <t>1. MODEL MAP</t>
        </is>
      </c>
    </row>
    <row r="5">
      <c r="A5" s="4" t="inlineStr">
        <is>
          <t>Tab</t>
        </is>
      </c>
      <c r="B5" s="4" t="inlineStr">
        <is>
          <t>Purpose</t>
        </is>
      </c>
    </row>
    <row r="6">
      <c r="A6" s="5" t="inlineStr">
        <is>
          <t>Read Me &amp; Checks</t>
        </is>
      </c>
      <c r="B6" s="6" t="inlineStr">
        <is>
          <t>This page: model map, case definitions and integrity checks.</t>
        </is>
      </c>
    </row>
    <row r="7">
      <c r="A7" s="5" t="inlineStr">
        <is>
          <t>Inputs</t>
        </is>
      </c>
      <c r="B7" s="6" t="inlineStr">
        <is>
          <t>All hard-coded assumptions (occupancy, ADR, payroll, CapEx, debt, tax, grant).</t>
        </is>
      </c>
    </row>
    <row r="8">
      <c r="A8" s="5" t="inlineStr">
        <is>
          <t>Live Model</t>
        </is>
      </c>
      <c r="B8" s="6" t="inlineStr">
        <is>
          <t>Formula-driven 5-year P&amp;L, cash flow, debt and balance sheet; replicates the Python management case.</t>
        </is>
      </c>
    </row>
    <row r="9">
      <c r="A9" s="5" t="inlineStr">
        <is>
          <t>Funding &amp; Audit</t>
        </is>
      </c>
      <c r="B9" s="6" t="inlineStr">
        <is>
          <t>Sources &amp; uses, funding gap, credit-line consistency, Phase II gate and computed audit rules.</t>
        </is>
      </c>
    </row>
    <row r="10">
      <c r="A10" s="5" t="inlineStr">
        <is>
          <t>Executive Scorecard</t>
        </is>
      </c>
      <c r="B10" s="6" t="inlineStr">
        <is>
          <t>One-page underwriting scorecard (management case).</t>
        </is>
      </c>
    </row>
    <row r="11">
      <c r="A11" s="5" t="inlineStr">
        <is>
          <t>3-Statement Model</t>
        </is>
      </c>
      <c r="B11" s="6" t="inlineStr">
        <is>
          <t>Full Python output: P&amp;L, cash flow and balance sheet.</t>
        </is>
      </c>
    </row>
    <row r="12">
      <c r="A12" s="5" t="inlineStr">
        <is>
          <t>Debt Schedule</t>
        </is>
      </c>
      <c r="B12" s="6" t="inlineStr">
        <is>
          <t>15-year French amortization schedule.</t>
        </is>
      </c>
    </row>
    <row r="13">
      <c r="A13" s="5" t="inlineStr">
        <is>
          <t>Scenario Stress-Testing</t>
        </is>
      </c>
      <c r="B13" s="6" t="inlineStr">
        <is>
          <t>Conservative / base / optimistic scenarios and 2D DSCR sensitivity.</t>
        </is>
      </c>
    </row>
    <row r="14">
      <c r="A14" s="5" t="inlineStr">
        <is>
          <t>Monte Carlo Risk</t>
        </is>
      </c>
      <c r="B14" s="6" t="inlineStr">
        <is>
          <t>1,000-iteration stochastic credit-risk simulation.</t>
        </is>
      </c>
    </row>
    <row r="15">
      <c r="A15" s="5" t="inlineStr">
        <is>
          <t>Credit Risk &amp; Copula</t>
        </is>
      </c>
      <c r="B15" s="6" t="inlineStr">
        <is>
          <t>Gaussian / Student-t / Clayton tail-risk comparison.</t>
        </is>
      </c>
    </row>
    <row r="16">
      <c r="A16" s="5" t="inlineStr">
        <is>
          <t>Unit Economics &amp; Runway</t>
        </is>
      </c>
      <c r="B16" s="6" t="inlineStr">
        <is>
          <t>RevPAR, TRevPAR, contribution margin and 24-month cash runway.</t>
        </is>
      </c>
    </row>
    <row r="17">
      <c r="A17" s="5" t="inlineStr">
        <is>
          <t>Phase II Expansion</t>
        </is>
      </c>
      <c r="B17" s="6" t="inlineStr">
        <is>
          <t>Landscape suites and biological pond: CapEx, P&amp;L, returns and consolidated impact.</t>
        </is>
      </c>
    </row>
    <row r="19">
      <c r="A19" s="3" t="inlineStr">
        <is>
          <t>2. THREE CASES (DO NOT CONFUSE THEM)</t>
        </is>
      </c>
    </row>
    <row r="20">
      <c r="A20" s="4" t="inlineStr">
        <is>
          <t>Case</t>
        </is>
      </c>
      <c r="B20" s="4" t="inlineStr">
        <is>
          <t>Occupancy</t>
        </is>
      </c>
      <c r="C20" s="4" t="inlineStr">
        <is>
          <t>Revenue Y1</t>
        </is>
      </c>
      <c r="D20" s="4" t="inlineStr">
        <is>
          <t>EBITDA Y1</t>
        </is>
      </c>
      <c r="E20" s="4" t="inlineStr">
        <is>
          <t>DSCR Y1</t>
        </is>
      </c>
      <c r="F20" s="4" t="inlineStr">
        <is>
          <t>Use</t>
        </is>
      </c>
    </row>
    <row r="21">
      <c r="A21" s="5" t="inlineStr">
        <is>
          <t>Management (upside)</t>
        </is>
      </c>
      <c r="B21" s="7" t="inlineStr">
        <is>
          <t>31.36%</t>
        </is>
      </c>
      <c r="C21" s="8" t="n">
        <v>154548</v>
      </c>
      <c r="D21" s="8" t="n">
        <v>66086.46000000001</v>
      </c>
      <c r="E21" s="8" t="n">
        <v>1.34</v>
      </c>
      <c r="F21" s="6" t="inlineStr">
        <is>
          <t>Headline Python case; 1.48x the INE market average.</t>
        </is>
      </c>
    </row>
    <row r="22">
      <c r="A22" s="5" t="inlineStr">
        <is>
          <t>INE market</t>
        </is>
      </c>
      <c r="B22" s="7" t="inlineStr">
        <is>
          <t>21.24%</t>
        </is>
      </c>
      <c r="C22" s="8" t="n">
        <v>95555</v>
      </c>
      <c r="D22" s="8" t="n">
        <v>17621</v>
      </c>
      <c r="E22" s="8" t="n">
        <v>0.4</v>
      </c>
      <c r="F22" s="6" t="inlineStr">
        <is>
          <t>Independent benchmark; does not cover debt service in Year 1.</t>
        </is>
      </c>
    </row>
    <row r="23">
      <c r="A23" s="5" t="inlineStr">
        <is>
          <t>Promoter (original Excel)</t>
        </is>
      </c>
      <c r="B23" s="7" t="inlineStr">
        <is>
          <t>19.20%</t>
        </is>
      </c>
      <c r="C23" s="8" t="n">
        <v>86275</v>
      </c>
      <c r="D23" s="8" t="n">
        <v>11297</v>
      </c>
      <c r="E23" s="8" t="n">
        <v>0.33</v>
      </c>
      <c r="F23" s="6" t="inlineStr">
        <is>
          <t>Faithful replication of the original university simulator.</t>
        </is>
      </c>
    </row>
    <row r="26">
      <c r="A26" s="3" t="inlineStr">
        <is>
          <t>3. KEY INTEGRITY CHECKS</t>
        </is>
      </c>
    </row>
    <row r="27">
      <c r="A27" s="4" t="inlineStr">
        <is>
          <t>Check</t>
        </is>
      </c>
      <c r="B27" s="4" t="inlineStr">
        <is>
          <t>Where</t>
        </is>
      </c>
      <c r="C27" s="4" t="inlineStr">
        <is>
          <t>Result</t>
        </is>
      </c>
    </row>
    <row r="28">
      <c r="A28" s="6" t="inlineStr">
        <is>
          <t>Balance-sheet equality (Assets = Liabilities + Equity)</t>
        </is>
      </c>
      <c r="B28" s="6" t="inlineStr">
        <is>
          <t>Live Model!B33:F33</t>
        </is>
      </c>
      <c r="C28" s="9">
        <f>IF(MAX(ABS('Live Model'!B33),ABS('Live Model'!C33),ABS('Live Model'!D33),ABS('Live Model'!E33),ABS('Live Model'!F33))&lt;1,"PASS","FAIL")</f>
        <v/>
      </c>
    </row>
    <row r="29">
      <c r="A29" s="6" t="inlineStr">
        <is>
          <t>Live revenue vs. Python revenue (Year 1)</t>
        </is>
      </c>
      <c r="B29" s="6" t="inlineStr">
        <is>
          <t>Live Model!D37</t>
        </is>
      </c>
      <c r="C29" s="9">
        <f>IF(ABS('Live Model'!D37)&lt;1,"PASS","FAIL")</f>
        <v/>
      </c>
    </row>
    <row r="30">
      <c r="A30" s="6" t="inlineStr">
        <is>
          <t>Live EBITDA vs. Python EBITDA (Year 1)</t>
        </is>
      </c>
      <c r="B30" s="6" t="inlineStr">
        <is>
          <t>Live Model!D38</t>
        </is>
      </c>
      <c r="C30" s="9">
        <f>IF(ABS('Live Model'!D38)&lt;1,"PASS","FAIL")</f>
        <v/>
      </c>
    </row>
    <row r="31">
      <c r="A31" s="6" t="inlineStr">
        <is>
          <t>Live DSCR vs. Python DSCR (Year 1)</t>
        </is>
      </c>
      <c r="B31" s="6" t="inlineStr">
        <is>
          <t>Live Model!D39</t>
        </is>
      </c>
      <c r="C31" s="9">
        <f>IF(ABS('Live Model'!D39)&lt;0.01,"PASS","FAIL")</f>
        <v/>
      </c>
    </row>
    <row r="32">
      <c r="A32" s="6" t="inlineStr">
        <is>
          <t>DSCR covenant (all years &gt;= 1.25x)</t>
        </is>
      </c>
      <c r="B32" s="6" t="inlineStr">
        <is>
          <t>Live Model!B28:F28</t>
        </is>
      </c>
      <c r="C32" s="9">
        <f>IF(MIN('Live Model'!B28:F28)&gt;=Inputs!B28,"PASS","FAIL")</f>
        <v/>
      </c>
    </row>
    <row r="33">
      <c r="A33" s="6" t="inlineStr">
        <is>
          <t>Sources &amp; uses at close (management)</t>
        </is>
      </c>
      <c r="B33" s="6" t="inlineStr">
        <is>
          <t>Funding &amp; Audit!D6</t>
        </is>
      </c>
      <c r="C33" s="9">
        <f>IF('Funding &amp; Audit'!D6&gt;=0,"PASS","FAIL")</f>
        <v/>
      </c>
    </row>
    <row r="34">
      <c r="A34" s="6" t="inlineStr">
        <is>
          <t>Credit line / VAT bridge &lt;= stated limit</t>
        </is>
      </c>
      <c r="B34" s="6" t="inlineStr">
        <is>
          <t>Funding &amp; Audit!G6</t>
        </is>
      </c>
      <c r="C34" s="9">
        <f>IF('Funding &amp; Audit'!G6&lt;=50000,"PASS","FAIL")</f>
        <v/>
      </c>
    </row>
    <row r="35">
      <c r="A35" s="6" t="inlineStr">
        <is>
          <t>Phase II self-funding gate</t>
        </is>
      </c>
      <c r="B35" s="6" t="inlineStr">
        <is>
          <t>Funding &amp; Audit!B13</t>
        </is>
      </c>
      <c r="C35" s="9">
        <f>IF('Funding &amp; Audit'!B13&gt;=0,"PASS","FAIL")</f>
        <v/>
      </c>
    </row>
    <row r="38">
      <c r="A38" s="3" t="inlineStr">
        <is>
          <t>4. HEADLINE FINDINGS</t>
        </is>
      </c>
    </row>
    <row r="39">
      <c r="A39" s="10" t="inlineStr">
        <is>
          <t>• The management case meets the 1.25x DSCR covenant at 28.23% in Year 1 and 31.36% in Year 2, but that is 1.48x the INE average.</t>
        </is>
      </c>
    </row>
    <row r="40">
      <c r="A40" s="10" t="inlineStr">
        <is>
          <t>• The independent INE market case (21.24%) generates €17.6k EBITDA and a 0.40x DSCR: it does not cover debt service.</t>
        </is>
      </c>
    </row>
    <row r="41">
      <c r="A41" s="10" t="inlineStr">
        <is>
          <t>• The original promoter case (19.2%) replicates the university Excel (€86,275 revenue / €11,297 EBITDA) and ends Year 1 with negative cash.</t>
        </is>
      </c>
    </row>
    <row r="42">
      <c r="A42" s="10" t="inlineStr">
        <is>
          <t>• Close-day uses (pre-opening, working capital, DSRA) create a €70.8k funding gap that the original Python cash flow omitted.</t>
        </is>
      </c>
    </row>
    <row r="43">
      <c r="A43" s="10" t="inlineStr">
        <is>
          <t>• The model draws a €143.6k VAT bridge while the stated revolving line is €50k: disclose the bridge as a separate facility or increase the line.</t>
        </is>
      </c>
    </row>
    <row r="44">
      <c r="A44" s="10" t="inlineStr">
        <is>
          <t>• Phase II needs €435.6k but Phase I only generates €193.9k of cash by the end of Year 2: the Phase II gate is negative (-€241.6k).</t>
        </is>
      </c>
    </row>
    <row r="45">
      <c r="A45" s="10" t="inlineStr">
        <is>
          <t>• Without an exit, the 5-year project IRR is negative; with an 8.5% cap-rate exit it is 15.4% (project) and 29.7% (equity).</t>
        </is>
      </c>
    </row>
    <row r="48">
      <c r="A48" s="3" t="inlineStr">
        <is>
          <t>5. DISCLAIMER</t>
        </is>
      </c>
    </row>
    <row r="49">
      <c r="A49" s="11" t="inlineStr">
        <is>
          <t>This is a portfolio model built from the author's own university work, public INE data and public convenio tables. It is not investment advice. The management case is an upside case; the market and promoter cases are the honest downside anchors.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4" customWidth="1" min="3" max="3"/>
    <col width="62" customWidth="1" min="4" max="4"/>
  </cols>
  <sheetData>
    <row r="1">
      <c r="A1" s="1" t="inlineStr">
        <is>
          <t>MODEL INPUTS - MANAGEMENT CASE (ALL HARD-CODED ASSUMPTIONS IN ONE PLACE)</t>
        </is>
      </c>
    </row>
    <row r="2">
      <c r="A2" s="2" t="inlineStr">
        <is>
          <t>Change any blue input and the Live Model recalculates. The report tabs are Python snapshots and do not recalculate.</t>
        </is>
      </c>
    </row>
    <row r="4">
      <c r="A4" s="4" t="inlineStr">
        <is>
          <t>Input</t>
        </is>
      </c>
      <c r="B4" s="4" t="inlineStr">
        <is>
          <t>Value</t>
        </is>
      </c>
      <c r="C4" s="4" t="inlineStr">
        <is>
          <t>Unit / Source</t>
        </is>
      </c>
    </row>
    <row r="5">
      <c r="A5" s="5" t="inlineStr">
        <is>
          <t>Mature occupancy</t>
        </is>
      </c>
      <c r="B5" s="12" t="n">
        <v>0.3136438356164383</v>
      </c>
      <c r="C5" s="6" t="inlineStr">
        <is>
          <t>%</t>
        </is>
      </c>
      <c r="D5" s="13" t="inlineStr">
        <is>
          <t>Management case: 31.36% (1.48x INE market)</t>
        </is>
      </c>
    </row>
    <row r="6">
      <c r="A6" s="5" t="inlineStr">
        <is>
          <t>Year 1 ramp</t>
        </is>
      </c>
      <c r="B6" s="12" t="n">
        <v>0.9</v>
      </c>
      <c r="C6" s="6" t="inlineStr">
        <is>
          <t>%</t>
        </is>
      </c>
      <c r="D6" s="13" t="inlineStr">
        <is>
          <t>90% of mature occupancy</t>
        </is>
      </c>
    </row>
    <row r="7">
      <c r="A7" s="5" t="inlineStr">
        <is>
          <t>Year 2 ramp</t>
        </is>
      </c>
      <c r="B7" s="12" t="n">
        <v>1</v>
      </c>
      <c r="C7" s="6" t="inlineStr">
        <is>
          <t>%</t>
        </is>
      </c>
      <c r="D7" s="13" t="inlineStr">
        <is>
          <t>100% of mature occupancy</t>
        </is>
      </c>
    </row>
    <row r="8">
      <c r="A8" s="5" t="inlineStr">
        <is>
          <t>Year 3 ramp</t>
        </is>
      </c>
      <c r="B8" s="12" t="n">
        <v>1.05</v>
      </c>
      <c r="C8" s="6" t="inlineStr">
        <is>
          <t>%</t>
        </is>
      </c>
      <c r="D8" s="13" t="inlineStr">
        <is>
          <t>105% mature (stabilized)</t>
        </is>
      </c>
    </row>
    <row r="9">
      <c r="A9" s="5" t="inlineStr">
        <is>
          <t>Year 4 ramp</t>
        </is>
      </c>
      <c r="B9" s="12" t="n">
        <v>1.05</v>
      </c>
      <c r="C9" s="6" t="inlineStr">
        <is>
          <t>%</t>
        </is>
      </c>
      <c r="D9" s="13" t="inlineStr">
        <is>
          <t>105% mature</t>
        </is>
      </c>
    </row>
    <row r="10">
      <c r="A10" s="5" t="inlineStr">
        <is>
          <t>Year 5 ramp</t>
        </is>
      </c>
      <c r="B10" s="12" t="n">
        <v>1.05</v>
      </c>
      <c r="C10" s="6" t="inlineStr">
        <is>
          <t>%</t>
        </is>
      </c>
      <c r="D10" s="13" t="inlineStr">
        <is>
          <t>105% mature</t>
        </is>
      </c>
    </row>
    <row r="11">
      <c r="A11" s="5" t="inlineStr">
        <is>
          <t>Double rooms</t>
        </is>
      </c>
      <c r="B11" s="14" t="n">
        <v>7</v>
      </c>
      <c r="C11" s="6" t="inlineStr">
        <is>
          <t>rooms</t>
        </is>
      </c>
      <c r="D11" s="13" t="inlineStr">
        <is>
          <t>Boutique hotel inventory</t>
        </is>
      </c>
    </row>
    <row r="12">
      <c r="A12" s="5" t="inlineStr">
        <is>
          <t>Full houses</t>
        </is>
      </c>
      <c r="B12" s="14" t="n">
        <v>1</v>
      </c>
      <c r="C12" s="6" t="inlineStr">
        <is>
          <t>house</t>
        </is>
      </c>
      <c r="D12" s="13" t="inlineStr">
        <is>
          <t>Casa rural completa</t>
        </is>
      </c>
    </row>
    <row r="13">
      <c r="A13" s="5" t="inlineStr">
        <is>
          <t>Room ADR</t>
        </is>
      </c>
      <c r="B13" s="15" t="n">
        <v>85</v>
      </c>
      <c r="C13" s="6" t="inlineStr">
        <is>
          <t>€/night</t>
        </is>
      </c>
      <c r="D13" s="13" t="inlineStr">
        <is>
          <t>Original university price</t>
        </is>
      </c>
    </row>
    <row r="14">
      <c r="A14" s="5" t="inlineStr">
        <is>
          <t>House ADR</t>
        </is>
      </c>
      <c r="B14" s="15" t="n">
        <v>380</v>
      </c>
      <c r="C14" s="6" t="inlineStr">
        <is>
          <t>€/night</t>
        </is>
      </c>
      <c r="D14" s="13" t="inlineStr">
        <is>
          <t>Original university price</t>
        </is>
      </c>
    </row>
    <row r="15">
      <c r="A15" s="5" t="inlineStr">
        <is>
          <t>Restaurant ticket</t>
        </is>
      </c>
      <c r="B15" s="15" t="n">
        <v>25</v>
      </c>
      <c r="C15" s="6" t="inlineStr">
        <is>
          <t>€/meal</t>
        </is>
      </c>
      <c r="D15" s="13" t="inlineStr">
        <is>
          <t>Management case (original: €20)</t>
        </is>
      </c>
    </row>
    <row r="16">
      <c r="A16" s="5" t="inlineStr">
        <is>
          <t>Diners per occupied day</t>
        </is>
      </c>
      <c r="B16" s="14" t="n">
        <v>21</v>
      </c>
      <c r="C16" s="6" t="inlineStr">
        <is>
          <t>meals</t>
        </is>
      </c>
      <c r="D16" s="13" t="inlineStr">
        <is>
          <t>7 rooms x 2 + 1 house x 7</t>
        </is>
      </c>
    </row>
    <row r="17">
      <c r="A17" s="5" t="inlineStr">
        <is>
          <t>Restaurant COGS</t>
        </is>
      </c>
      <c r="B17" s="12" t="n">
        <v>0.3</v>
      </c>
      <c r="C17" s="6" t="inlineStr">
        <is>
          <t>%</t>
        </is>
      </c>
      <c r="D17" s="13" t="inlineStr">
        <is>
          <t>30% food &amp; beverage cost</t>
        </is>
      </c>
    </row>
    <row r="18">
      <c r="A18" s="5" t="inlineStr">
        <is>
          <t>Annual payroll</t>
        </is>
      </c>
      <c r="B18" s="15" t="n">
        <v>60075</v>
      </c>
      <c r="C18" s="6" t="inlineStr">
        <is>
          <t>€</t>
        </is>
      </c>
      <c r="D18" s="13" t="inlineStr">
        <is>
          <t>2.09 FTE part-time (35% SS)</t>
        </is>
      </c>
    </row>
    <row r="19">
      <c r="A19" s="5" t="inlineStr">
        <is>
          <t>Fixed opex</t>
        </is>
      </c>
      <c r="B19" s="15" t="n">
        <v>12159</v>
      </c>
      <c r="C19" s="6" t="inlineStr">
        <is>
          <t>€</t>
        </is>
      </c>
      <c r="D19" s="13" t="inlineStr">
        <is>
          <t>Maintenance, insurance, utilities, marketing, PMS</t>
        </is>
      </c>
    </row>
    <row r="20">
      <c r="A20" s="5" t="inlineStr">
        <is>
          <t>CapEx</t>
        </is>
      </c>
      <c r="B20" s="15" t="n">
        <v>729000</v>
      </c>
      <c r="C20" s="6" t="inlineStr">
        <is>
          <t>€</t>
        </is>
      </c>
      <c r="D20" s="13" t="inlineStr">
        <is>
          <t>Land 250k + renovation 440k + biopool 35k + digital 4k</t>
        </is>
      </c>
    </row>
    <row r="21">
      <c r="A21" s="5" t="inlineStr">
        <is>
          <t>Annual depreciation</t>
        </is>
      </c>
      <c r="B21" s="15" t="n">
        <v>17700</v>
      </c>
      <c r="C21" s="6" t="inlineStr">
        <is>
          <t>€</t>
        </is>
      </c>
      <c r="D21" s="13" t="inlineStr">
        <is>
          <t>Ley 27/2014 tables</t>
        </is>
      </c>
    </row>
    <row r="22">
      <c r="A22" s="5" t="inlineStr">
        <is>
          <t>Senior debt</t>
        </is>
      </c>
      <c r="B22" s="15" t="n">
        <v>507500</v>
      </c>
      <c r="C22" s="6" t="inlineStr">
        <is>
          <t>€</t>
        </is>
      </c>
      <c r="D22" s="13" t="inlineStr">
        <is>
          <t>70% of base CapEx</t>
        </is>
      </c>
    </row>
    <row r="23">
      <c r="A23" s="5" t="inlineStr">
        <is>
          <t>Sponsor equity</t>
        </is>
      </c>
      <c r="B23" s="15" t="n">
        <v>217500</v>
      </c>
      <c r="C23" s="6" t="inlineStr">
        <is>
          <t>€</t>
        </is>
      </c>
      <c r="D23" s="13" t="inlineStr">
        <is>
          <t>30% of base CapEx</t>
        </is>
      </c>
    </row>
    <row r="24">
      <c r="A24" s="5" t="inlineStr">
        <is>
          <t>Interest rate</t>
        </is>
      </c>
      <c r="B24" s="12" t="n">
        <v>0.035</v>
      </c>
      <c r="C24" s="6" t="inlineStr">
        <is>
          <t>%</t>
        </is>
      </c>
      <c r="D24" s="13" t="inlineStr">
        <is>
          <t>Senior mortgage</t>
        </is>
      </c>
    </row>
    <row r="25">
      <c r="A25" s="5" t="inlineStr">
        <is>
          <t>Tenure</t>
        </is>
      </c>
      <c r="B25" s="14" t="n">
        <v>15</v>
      </c>
      <c r="C25" s="6" t="inlineStr">
        <is>
          <t>years</t>
        </is>
      </c>
      <c r="D25" s="13" t="inlineStr">
        <is>
          <t>French amortization</t>
        </is>
      </c>
    </row>
    <row r="26">
      <c r="A26" s="5" t="inlineStr">
        <is>
          <t>Corporate tax rate</t>
        </is>
      </c>
      <c r="B26" s="12" t="n">
        <v>0.25</v>
      </c>
      <c r="C26" s="6" t="inlineStr">
        <is>
          <t>%</t>
        </is>
      </c>
      <c r="D26" s="13" t="inlineStr">
        <is>
          <t>Ley 27/2014</t>
        </is>
      </c>
    </row>
    <row r="27">
      <c r="A27" s="5" t="inlineStr">
        <is>
          <t>LEADER grant (Year 2)</t>
        </is>
      </c>
      <c r="B27" s="15" t="n">
        <v>163000</v>
      </c>
      <c r="C27" s="6" t="inlineStr">
        <is>
          <t>€</t>
        </is>
      </c>
      <c r="D27" s="13" t="inlineStr">
        <is>
          <t>Post-close, Month 14</t>
        </is>
      </c>
    </row>
    <row r="28">
      <c r="A28" s="5" t="inlineStr">
        <is>
          <t>Target DSCR</t>
        </is>
      </c>
      <c r="B28" s="15" t="n">
        <v>1.25</v>
      </c>
      <c r="C28" s="6" t="inlineStr">
        <is>
          <t>x</t>
        </is>
      </c>
      <c r="D28" s="13" t="inlineStr">
        <is>
          <t>Bank covenant floor</t>
        </is>
      </c>
    </row>
    <row r="29">
      <c r="A29" s="5" t="inlineStr">
        <is>
          <t>INE market occupancy</t>
        </is>
      </c>
      <c r="B29" s="12" t="n">
        <v>0.2123767123287671</v>
      </c>
      <c r="C29" s="6" t="inlineStr">
        <is>
          <t>%</t>
        </is>
      </c>
      <c r="D29" s="13" t="inlineStr">
        <is>
          <t>INE EOTR Segovia 2025</t>
        </is>
      </c>
    </row>
    <row r="30">
      <c r="A30" s="5" t="inlineStr">
        <is>
          <t>Promoter occupancy</t>
        </is>
      </c>
      <c r="B30" s="12" t="n">
        <v>0.192</v>
      </c>
      <c r="C30" s="6" t="inlineStr">
        <is>
          <t>%</t>
        </is>
      </c>
      <c r="D30" s="13" t="inlineStr">
        <is>
          <t>Original Excel (491 / 2,555 room-nights)</t>
        </is>
      </c>
    </row>
    <row r="31">
      <c r="A31" s="5" t="inlineStr">
        <is>
          <t>VAT bridge (Year 1)</t>
        </is>
      </c>
      <c r="B31" s="15" t="n">
        <v>143596.37</v>
      </c>
      <c r="C31" s="6" t="inlineStr">
        <is>
          <t>€</t>
        </is>
      </c>
      <c r="D31" s="13" t="inlineStr">
        <is>
          <t>AEAT refund bridge (net)</t>
        </is>
      </c>
    </row>
    <row r="32">
      <c r="A32" s="5" t="inlineStr">
        <is>
          <t>VAT bridge interest rate</t>
        </is>
      </c>
      <c r="B32" s="12" t="n">
        <v>0.055</v>
      </c>
      <c r="C32" s="6" t="inlineStr">
        <is>
          <t>%</t>
        </is>
      </c>
      <c r="D32" s="13" t="inlineStr">
        <is>
          <t>5.5% annual on the drawn bridge</t>
        </is>
      </c>
    </row>
    <row r="35">
      <c r="A35" s="3" t="inlineStr">
        <is>
          <t>CASE DEFINITIONS</t>
        </is>
      </c>
    </row>
    <row r="36">
      <c r="A36" s="3" t="inlineStr">
        <is>
          <t>Management (upside)</t>
        </is>
      </c>
      <c r="B36" s="10" t="inlineStr">
        <is>
          <t>31.36% mature occupancy, one on-site meal per guest per day, €25 ticket. This is the headline Python case.</t>
        </is>
      </c>
    </row>
    <row r="37">
      <c r="A37" s="3" t="inlineStr">
        <is>
          <t>INE market</t>
        </is>
      </c>
      <c r="B37" s="10" t="inlineStr">
        <is>
          <t>21.24% official Segovia room occupancy (2025), original unit economics (€85/€380/€20, 859 meals at 19.2% scaled to 21.24%).</t>
        </is>
      </c>
    </row>
    <row r="38">
      <c r="A38" s="3" t="inlineStr">
        <is>
          <t>Promoter</t>
        </is>
      </c>
      <c r="B38" s="10" t="inlineStr">
        <is>
          <t>19.20% occupancy, 491 room-nights, 72 house-nights, 859 meals, €85/€380/€20, 4.5%/25Y debt, no grant. Replicates the original Excel.</t>
        </is>
      </c>
    </row>
  </sheetData>
  <mergeCells count="3">
    <mergeCell ref="B38:D38"/>
    <mergeCell ref="B36:D36"/>
    <mergeCell ref="B37:D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LIVE 5-YEAR MODEL - FORMULA-DRIVEN MANAGEMENT CASE</t>
        </is>
      </c>
    </row>
    <row r="2">
      <c r="A2" s="2" t="inlineStr">
        <is>
          <t>Every value in columns B-F is a formula linked to the Inputs tab and the Debt Schedule. The Checks block compares the live output with Python.</t>
        </is>
      </c>
    </row>
    <row r="4">
      <c r="A4" s="4" t="inlineStr">
        <is>
          <t>Line Item</t>
        </is>
      </c>
      <c r="B4" s="4" t="inlineStr">
        <is>
          <t>Year 1</t>
        </is>
      </c>
      <c r="C4" s="4" t="inlineStr">
        <is>
          <t>Year 2</t>
        </is>
      </c>
      <c r="D4" s="4" t="inlineStr">
        <is>
          <t>Year 3</t>
        </is>
      </c>
      <c r="E4" s="4" t="inlineStr">
        <is>
          <t>Year 4</t>
        </is>
      </c>
      <c r="F4" s="4" t="inlineStr">
        <is>
          <t>Year 5</t>
        </is>
      </c>
    </row>
    <row r="5">
      <c r="A5" s="6" t="inlineStr">
        <is>
          <t>Occupancy (% of available days)</t>
        </is>
      </c>
      <c r="B5" s="16">
        <f>Inputs!$B$5*Inputs!$B$6</f>
        <v/>
      </c>
      <c r="C5" s="16">
        <f>Inputs!$B$5*Inputs!$B$7</f>
        <v/>
      </c>
      <c r="D5" s="16">
        <f>Inputs!$B$5*Inputs!$B$8</f>
        <v/>
      </c>
      <c r="E5" s="16">
        <f>Inputs!$B$5*Inputs!$B$9</f>
        <v/>
      </c>
      <c r="F5" s="16">
        <f>Inputs!$B$5*Inputs!$B$10</f>
        <v/>
      </c>
    </row>
    <row r="6">
      <c r="A6" s="6" t="inlineStr">
        <is>
          <t>Occupied day-equivalents</t>
        </is>
      </c>
      <c r="B6" s="17">
        <f>365*B5</f>
        <v/>
      </c>
      <c r="C6" s="17">
        <f>365*C5</f>
        <v/>
      </c>
      <c r="D6" s="17">
        <f>365*D5</f>
        <v/>
      </c>
      <c r="E6" s="17">
        <f>365*E5</f>
        <v/>
      </c>
      <c r="F6" s="17">
        <f>365*F5</f>
        <v/>
      </c>
    </row>
    <row r="7">
      <c r="A7" s="6" t="inlineStr">
        <is>
          <t>Room revenue (€)</t>
        </is>
      </c>
      <c r="B7" s="18">
        <f>B6*Inputs!$B$11*Inputs!$B$13</f>
        <v/>
      </c>
      <c r="C7" s="18">
        <f>C6*Inputs!$B$11*Inputs!$B$13</f>
        <v/>
      </c>
      <c r="D7" s="18">
        <f>D6*Inputs!$B$11*Inputs!$B$13</f>
        <v/>
      </c>
      <c r="E7" s="18">
        <f>E6*Inputs!$B$11*Inputs!$B$13</f>
        <v/>
      </c>
      <c r="F7" s="18">
        <f>F6*Inputs!$B$11*Inputs!$B$13</f>
        <v/>
      </c>
    </row>
    <row r="8">
      <c r="A8" s="6" t="inlineStr">
        <is>
          <t>Full-house revenue (€)</t>
        </is>
      </c>
      <c r="B8" s="18">
        <f>B6*Inputs!$B$12*Inputs!$B$14</f>
        <v/>
      </c>
      <c r="C8" s="18">
        <f>C6*Inputs!$B$12*Inputs!$B$14</f>
        <v/>
      </c>
      <c r="D8" s="18">
        <f>D6*Inputs!$B$12*Inputs!$B$14</f>
        <v/>
      </c>
      <c r="E8" s="18">
        <f>E6*Inputs!$B$12*Inputs!$B$14</f>
        <v/>
      </c>
      <c r="F8" s="18">
        <f>F6*Inputs!$B$12*Inputs!$B$14</f>
        <v/>
      </c>
    </row>
    <row r="9">
      <c r="A9" s="6" t="inlineStr">
        <is>
          <t>Restaurant revenue (€)</t>
        </is>
      </c>
      <c r="B9" s="18">
        <f>B6*Inputs!$B$16*Inputs!$B$15</f>
        <v/>
      </c>
      <c r="C9" s="18">
        <f>C6*Inputs!$B$16*Inputs!$B$15</f>
        <v/>
      </c>
      <c r="D9" s="18">
        <f>D6*Inputs!$B$16*Inputs!$B$15</f>
        <v/>
      </c>
      <c r="E9" s="18">
        <f>E6*Inputs!$B$16*Inputs!$B$15</f>
        <v/>
      </c>
      <c r="F9" s="18">
        <f>F6*Inputs!$B$16*Inputs!$B$15</f>
        <v/>
      </c>
    </row>
    <row r="10">
      <c r="A10" s="5" t="inlineStr">
        <is>
          <t>Total revenue (€)</t>
        </is>
      </c>
      <c r="B10" s="18">
        <f>SUM(B7:B9)</f>
        <v/>
      </c>
      <c r="C10" s="18">
        <f>SUM(C7:C9)</f>
        <v/>
      </c>
      <c r="D10" s="18">
        <f>SUM(D7:D9)</f>
        <v/>
      </c>
      <c r="E10" s="18">
        <f>SUM(E7:E9)</f>
        <v/>
      </c>
      <c r="F10" s="18">
        <f>SUM(F7:F9)</f>
        <v/>
      </c>
    </row>
    <row r="11">
      <c r="A11" s="6" t="inlineStr">
        <is>
          <t>Restaurant COGS (€)</t>
        </is>
      </c>
      <c r="B11" s="18">
        <f>B9*Inputs!$B$17</f>
        <v/>
      </c>
      <c r="C11" s="18">
        <f>C9*Inputs!$B$17</f>
        <v/>
      </c>
      <c r="D11" s="18">
        <f>D9*Inputs!$B$17</f>
        <v/>
      </c>
      <c r="E11" s="18">
        <f>E9*Inputs!$B$17</f>
        <v/>
      </c>
      <c r="F11" s="18">
        <f>F9*Inputs!$B$17</f>
        <v/>
      </c>
    </row>
    <row r="12">
      <c r="A12" s="6" t="inlineStr">
        <is>
          <t>Payroll (€)</t>
        </is>
      </c>
      <c r="B12" s="18">
        <f>Inputs!$B$18</f>
        <v/>
      </c>
      <c r="C12" s="18">
        <f>Inputs!$B$18</f>
        <v/>
      </c>
      <c r="D12" s="18">
        <f>Inputs!$B$18</f>
        <v/>
      </c>
      <c r="E12" s="18">
        <f>Inputs!$B$18</f>
        <v/>
      </c>
      <c r="F12" s="18">
        <f>Inputs!$B$18</f>
        <v/>
      </c>
    </row>
    <row r="13">
      <c r="A13" s="6" t="inlineStr">
        <is>
          <t>Fixed opex (€)</t>
        </is>
      </c>
      <c r="B13" s="18">
        <f>Inputs!$B$19</f>
        <v/>
      </c>
      <c r="C13" s="18">
        <f>Inputs!$B$19</f>
        <v/>
      </c>
      <c r="D13" s="18">
        <f>Inputs!$B$19</f>
        <v/>
      </c>
      <c r="E13" s="18">
        <f>Inputs!$B$19</f>
        <v/>
      </c>
      <c r="F13" s="18">
        <f>Inputs!$B$19</f>
        <v/>
      </c>
    </row>
    <row r="14">
      <c r="A14" s="5" t="inlineStr">
        <is>
          <t>EBITDA (€)</t>
        </is>
      </c>
      <c r="B14" s="18">
        <f>B10-B11-B12-B13</f>
        <v/>
      </c>
      <c r="C14" s="18">
        <f>C10-C11-C12-C13</f>
        <v/>
      </c>
      <c r="D14" s="18">
        <f>D10-D11-D12-D13</f>
        <v/>
      </c>
      <c r="E14" s="18">
        <f>E10-E11-E12-E13</f>
        <v/>
      </c>
      <c r="F14" s="18">
        <f>F10-F11-F12-F13</f>
        <v/>
      </c>
    </row>
    <row r="15">
      <c r="A15" s="6" t="inlineStr">
        <is>
          <t>Depreciation (€)</t>
        </is>
      </c>
      <c r="B15" s="18">
        <f>Inputs!$B$21</f>
        <v/>
      </c>
      <c r="C15" s="18">
        <f>Inputs!$B$21</f>
        <v/>
      </c>
      <c r="D15" s="18">
        <f>Inputs!$B$21</f>
        <v/>
      </c>
      <c r="E15" s="18">
        <f>Inputs!$B$21</f>
        <v/>
      </c>
      <c r="F15" s="18">
        <f>Inputs!$B$21</f>
        <v/>
      </c>
    </row>
    <row r="16">
      <c r="A16" s="6" t="inlineStr">
        <is>
          <t>EBIT (€)</t>
        </is>
      </c>
      <c r="B16" s="18">
        <f>B14-B15</f>
        <v/>
      </c>
      <c r="C16" s="18">
        <f>C14-C15</f>
        <v/>
      </c>
      <c r="D16" s="18">
        <f>D14-D15</f>
        <v/>
      </c>
      <c r="E16" s="18">
        <f>E14-E15</f>
        <v/>
      </c>
      <c r="F16" s="18">
        <f>F14-F15</f>
        <v/>
      </c>
    </row>
    <row r="17">
      <c r="A17" s="6" t="inlineStr">
        <is>
          <t>Beginning senior debt (€)</t>
        </is>
      </c>
      <c r="B17" s="18">
        <f>'Debt Schedule'!B4</f>
        <v/>
      </c>
      <c r="C17" s="18">
        <f>'Debt Schedule'!B5</f>
        <v/>
      </c>
      <c r="D17" s="18">
        <f>'Debt Schedule'!B6</f>
        <v/>
      </c>
      <c r="E17" s="18">
        <f>'Debt Schedule'!B7</f>
        <v/>
      </c>
      <c r="F17" s="18">
        <f>'Debt Schedule'!B8</f>
        <v/>
      </c>
    </row>
    <row r="18">
      <c r="A18" s="6" t="inlineStr">
        <is>
          <t>Interest expense (€)</t>
        </is>
      </c>
      <c r="B18" s="18">
        <f>'Debt Schedule'!E4</f>
        <v/>
      </c>
      <c r="C18" s="18">
        <f>'Debt Schedule'!E5</f>
        <v/>
      </c>
      <c r="D18" s="18">
        <f>'Debt Schedule'!E6</f>
        <v/>
      </c>
      <c r="E18" s="18">
        <f>'Debt Schedule'!E7</f>
        <v/>
      </c>
      <c r="F18" s="18">
        <f>'Debt Schedule'!E8</f>
        <v/>
      </c>
    </row>
    <row r="19">
      <c r="A19" s="6" t="inlineStr">
        <is>
          <t>Principal repayment (€)</t>
        </is>
      </c>
      <c r="B19" s="18">
        <f>'Debt Schedule'!D4</f>
        <v/>
      </c>
      <c r="C19" s="18">
        <f>'Debt Schedule'!D5</f>
        <v/>
      </c>
      <c r="D19" s="18">
        <f>'Debt Schedule'!D6</f>
        <v/>
      </c>
      <c r="E19" s="18">
        <f>'Debt Schedule'!D7</f>
        <v/>
      </c>
      <c r="F19" s="18">
        <f>'Debt Schedule'!D8</f>
        <v/>
      </c>
    </row>
    <row r="20">
      <c r="A20" s="6" t="inlineStr">
        <is>
          <t>Ending senior debt (€)</t>
        </is>
      </c>
      <c r="B20" s="18">
        <f>'Debt Schedule'!F4</f>
        <v/>
      </c>
      <c r="C20" s="18">
        <f>'Debt Schedule'!F5</f>
        <v/>
      </c>
      <c r="D20" s="18">
        <f>'Debt Schedule'!F6</f>
        <v/>
      </c>
      <c r="E20" s="18">
        <f>'Debt Schedule'!F7</f>
        <v/>
      </c>
      <c r="F20" s="18">
        <f>'Debt Schedule'!F8</f>
        <v/>
      </c>
    </row>
    <row r="21">
      <c r="A21" s="6" t="inlineStr">
        <is>
          <t>EBT (€)</t>
        </is>
      </c>
      <c r="B21" s="18">
        <f>B16-B18</f>
        <v/>
      </c>
      <c r="C21" s="18">
        <f>C16-C18-Inputs!$B$31*Inputs!$B$32</f>
        <v/>
      </c>
      <c r="D21" s="18">
        <f>D16-D18</f>
        <v/>
      </c>
      <c r="E21" s="18">
        <f>E16-E18</f>
        <v/>
      </c>
      <c r="F21" s="18">
        <f>F16-F18</f>
        <v/>
      </c>
    </row>
    <row r="22">
      <c r="A22" s="6" t="inlineStr">
        <is>
          <t>Corporate tax (€)</t>
        </is>
      </c>
      <c r="B22" s="18">
        <f>MAX(0,B21*Inputs!$B$26)</f>
        <v/>
      </c>
      <c r="C22" s="18">
        <f>MAX(0,C21*Inputs!$B$26)</f>
        <v/>
      </c>
      <c r="D22" s="18">
        <f>MAX(0,D21*Inputs!$B$26)</f>
        <v/>
      </c>
      <c r="E22" s="18">
        <f>MAX(0,E21*Inputs!$B$26)</f>
        <v/>
      </c>
      <c r="F22" s="18">
        <f>MAX(0,F21*Inputs!$B$26)</f>
        <v/>
      </c>
    </row>
    <row r="23">
      <c r="A23" s="5" t="inlineStr">
        <is>
          <t>Net income (€)</t>
        </is>
      </c>
      <c r="B23" s="18">
        <f>B21-B22</f>
        <v/>
      </c>
      <c r="C23" s="18">
        <f>C21-C22</f>
        <v/>
      </c>
      <c r="D23" s="18">
        <f>D21-D22</f>
        <v/>
      </c>
      <c r="E23" s="18">
        <f>E21-E22</f>
        <v/>
      </c>
      <c r="F23" s="18">
        <f>F21-F22</f>
        <v/>
      </c>
    </row>
    <row r="24">
      <c r="A24" s="6" t="inlineStr">
        <is>
          <t>Cash flow from operations (€)</t>
        </is>
      </c>
      <c r="B24" s="18">
        <f>B23+B15</f>
        <v/>
      </c>
      <c r="C24" s="18">
        <f>C23+C15</f>
        <v/>
      </c>
      <c r="D24" s="18">
        <f>D23+D15</f>
        <v/>
      </c>
      <c r="E24" s="18">
        <f>E23+E15</f>
        <v/>
      </c>
      <c r="F24" s="18">
        <f>F23+F15</f>
        <v/>
      </c>
    </row>
    <row r="25">
      <c r="A25" s="6" t="inlineStr">
        <is>
          <t>Cash flow from investing (€)</t>
        </is>
      </c>
      <c r="B25" s="18">
        <f>-Inputs!$B$20</f>
        <v/>
      </c>
      <c r="C25" s="18">
        <f>0</f>
        <v/>
      </c>
      <c r="D25" s="18">
        <f>0</f>
        <v/>
      </c>
      <c r="E25" s="18">
        <f>0</f>
        <v/>
      </c>
      <c r="F25" s="18">
        <f>0</f>
        <v/>
      </c>
    </row>
    <row r="26">
      <c r="A26" s="6" t="inlineStr">
        <is>
          <t>Cash flow from financing (€)</t>
        </is>
      </c>
      <c r="B26" s="18">
        <f>Inputs!$B$22+Inputs!$B$23-B19</f>
        <v/>
      </c>
      <c r="C26" s="18">
        <f>-C19+Inputs!$B$27</f>
        <v/>
      </c>
      <c r="D26" s="18">
        <f>-D19</f>
        <v/>
      </c>
      <c r="E26" s="18">
        <f>-E19</f>
        <v/>
      </c>
      <c r="F26" s="18">
        <f>-F19</f>
        <v/>
      </c>
    </row>
    <row r="27">
      <c r="A27" s="5" t="inlineStr">
        <is>
          <t>Ending cash (€)</t>
        </is>
      </c>
      <c r="B27" s="18">
        <f>B24+B25+B26</f>
        <v/>
      </c>
      <c r="C27" s="18">
        <f>B27+C24+C25+C26</f>
        <v/>
      </c>
      <c r="D27" s="18">
        <f>C27+D24+D25+D26</f>
        <v/>
      </c>
      <c r="E27" s="18">
        <f>D27+E24+E25+E26</f>
        <v/>
      </c>
      <c r="F27" s="18">
        <f>E27+F24+F25+F26</f>
        <v/>
      </c>
    </row>
    <row r="28">
      <c r="A28" s="5" t="inlineStr">
        <is>
          <t>DSCR (x)</t>
        </is>
      </c>
      <c r="B28" s="19">
        <f>(B14-B22)/(B18+B19)</f>
        <v/>
      </c>
      <c r="C28" s="19">
        <f>(C14-C22)/(C18+C19)</f>
        <v/>
      </c>
      <c r="D28" s="19">
        <f>(D14-D22)/(D18+D19)</f>
        <v/>
      </c>
      <c r="E28" s="19">
        <f>(E14-E22)/(E18+E19)</f>
        <v/>
      </c>
      <c r="F28" s="19">
        <f>(F14-F22)/(F18+F19)</f>
        <v/>
      </c>
    </row>
    <row r="29">
      <c r="A29" s="6" t="inlineStr">
        <is>
          <t>Net PP&amp;E (€)</t>
        </is>
      </c>
      <c r="B29" s="18">
        <f>Inputs!$B$20-B15</f>
        <v/>
      </c>
      <c r="C29" s="18">
        <f>B29-C15</f>
        <v/>
      </c>
      <c r="D29" s="18">
        <f>C29-D15</f>
        <v/>
      </c>
      <c r="E29" s="18">
        <f>D29-E15</f>
        <v/>
      </c>
      <c r="F29" s="18">
        <f>E29-F15</f>
        <v/>
      </c>
    </row>
    <row r="30">
      <c r="A30" s="6" t="inlineStr">
        <is>
          <t>Total assets (€)</t>
        </is>
      </c>
      <c r="B30" s="18">
        <f>B29+B27</f>
        <v/>
      </c>
      <c r="C30" s="18">
        <f>C29+C27</f>
        <v/>
      </c>
      <c r="D30" s="18">
        <f>D29+D27</f>
        <v/>
      </c>
      <c r="E30" s="18">
        <f>E29+E27</f>
        <v/>
      </c>
      <c r="F30" s="18">
        <f>F29+F27</f>
        <v/>
      </c>
    </row>
    <row r="31">
      <c r="A31" s="6" t="inlineStr">
        <is>
          <t>Equity incl. capital subsidies (€)</t>
        </is>
      </c>
      <c r="B31" s="18">
        <f>Inputs!$B$23+B23</f>
        <v/>
      </c>
      <c r="C31" s="18">
        <f>B31+C23+Inputs!$B$27</f>
        <v/>
      </c>
      <c r="D31" s="18">
        <f>C31+D23</f>
        <v/>
      </c>
      <c r="E31" s="18">
        <f>D31+E23</f>
        <v/>
      </c>
      <c r="F31" s="18">
        <f>E31+F23</f>
        <v/>
      </c>
    </row>
    <row r="32">
      <c r="A32" s="6" t="inlineStr">
        <is>
          <t>Liabilities + equity (€)</t>
        </is>
      </c>
      <c r="B32" s="18">
        <f>B20+B31</f>
        <v/>
      </c>
      <c r="C32" s="18">
        <f>C20+C31</f>
        <v/>
      </c>
      <c r="D32" s="18">
        <f>D20+D31</f>
        <v/>
      </c>
      <c r="E32" s="18">
        <f>E20+E31</f>
        <v/>
      </c>
      <c r="F32" s="18">
        <f>F20+F31</f>
        <v/>
      </c>
    </row>
    <row r="33">
      <c r="A33" s="5" t="inlineStr">
        <is>
          <t>Balance check (€)</t>
        </is>
      </c>
      <c r="B33" s="18">
        <f>B30-B32</f>
        <v/>
      </c>
      <c r="C33" s="18">
        <f>C30-C32</f>
        <v/>
      </c>
      <c r="D33" s="18">
        <f>D30-D32</f>
        <v/>
      </c>
      <c r="E33" s="18">
        <f>E30-E32</f>
        <v/>
      </c>
      <c r="F33" s="18">
        <f>F30-F32</f>
        <v/>
      </c>
    </row>
    <row r="35">
      <c r="A35" s="3" t="inlineStr">
        <is>
          <t>CHECKS: LIVE MODEL VS. PYTHON OUTPUT</t>
        </is>
      </c>
    </row>
    <row r="36">
      <c r="A36" s="4" t="inlineStr">
        <is>
          <t>Check</t>
        </is>
      </c>
      <c r="B36" s="4" t="inlineStr">
        <is>
          <t>Python</t>
        </is>
      </c>
      <c r="C36" s="4" t="inlineStr">
        <is>
          <t>Live</t>
        </is>
      </c>
      <c r="D36" s="4" t="inlineStr">
        <is>
          <t>Difference</t>
        </is>
      </c>
      <c r="E36" s="4" t="inlineStr">
        <is>
          <t>Status</t>
        </is>
      </c>
    </row>
    <row r="37">
      <c r="A37" s="5" t="inlineStr">
        <is>
          <t>Revenue Year 1 (€)</t>
        </is>
      </c>
      <c r="B37" s="18" t="n">
        <v>154548</v>
      </c>
      <c r="C37" s="18">
        <f>B10</f>
        <v/>
      </c>
      <c r="D37" s="18">
        <f>C37-B37</f>
        <v/>
      </c>
      <c r="E37" s="9">
        <f>IF(ABS(D37)&lt;1,"PASS","FAIL")</f>
        <v/>
      </c>
    </row>
    <row r="38">
      <c r="A38" s="5" t="inlineStr">
        <is>
          <t>EBITDA Year 1 (€)</t>
        </is>
      </c>
      <c r="B38" s="18" t="n">
        <v>66086.46000000001</v>
      </c>
      <c r="C38" s="18">
        <f>B14</f>
        <v/>
      </c>
      <c r="D38" s="18">
        <f>C38-B38</f>
        <v/>
      </c>
      <c r="E38" s="9">
        <f>IF(ABS(D38)&lt;1,"PASS","FAIL")</f>
        <v/>
      </c>
    </row>
    <row r="39">
      <c r="A39" s="5" t="inlineStr">
        <is>
          <t>DSCR Year 1 (x)</t>
        </is>
      </c>
      <c r="B39" s="18" t="n">
        <v>1.34</v>
      </c>
      <c r="C39" s="18">
        <f>B28</f>
        <v/>
      </c>
      <c r="D39" s="18">
        <f>C39-B39</f>
        <v/>
      </c>
      <c r="E39" s="9">
        <f>IF(ABS(D39)&lt;1,"PASS","FAIL")</f>
        <v/>
      </c>
    </row>
    <row r="40">
      <c r="A40" s="5" t="inlineStr">
        <is>
          <t>Ending cash Year 1 (€)</t>
        </is>
      </c>
      <c r="B40" s="18" t="n">
        <v>10789.74</v>
      </c>
      <c r="C40" s="18">
        <f>B27</f>
        <v/>
      </c>
      <c r="D40" s="18">
        <f>C40-B40</f>
        <v/>
      </c>
      <c r="E40" s="9">
        <f>IF(ABS(D40)&lt;1,"PASS","FAIL")</f>
        <v/>
      </c>
    </row>
    <row r="42">
      <c r="A42" s="3" t="inlineStr">
        <is>
          <t>Balance-sheet check (max absolute) (€)</t>
        </is>
      </c>
      <c r="B42" s="20">
        <f>MAX(ABS(B33),ABS(C33),ABS(D33),ABS(E33),ABS(F33))</f>
        <v/>
      </c>
      <c r="C42" s="3">
        <f>IF(B42&lt;1,"PASS","FAIL")</f>
        <v/>
      </c>
    </row>
    <row r="43">
      <c r="A43" s="3" t="inlineStr">
        <is>
          <t>DSCR covenant (all years &gt;= 1.25x)</t>
        </is>
      </c>
      <c r="B43" s="21">
        <f>MIN(B28:F28)</f>
        <v/>
      </c>
      <c r="C43" s="3">
        <f>IF(B43&gt;=Inputs!B28,"PASS","FAIL")</f>
        <v/>
      </c>
    </row>
    <row r="44">
      <c r="A44" s="11" t="inlineStr">
        <is>
          <t>Note: the VAT bridge is a balance-sheet wash and is excluded from this simplified live cash flow; the Python model includes it.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42" customWidth="1" min="2" max="2"/>
    <col width="14" customWidth="1" min="3" max="3"/>
    <col width="16" customWidth="1" min="4" max="4"/>
    <col width="20" customWidth="1" min="5" max="5"/>
    <col width="16" customWidth="1" min="6" max="6"/>
    <col width="20" customWidth="1" min="7" max="7"/>
    <col width="52" customWidth="1" min="8" max="8"/>
    <col width="12" customWidth="1" min="9" max="9"/>
  </cols>
  <sheetData>
    <row r="1">
      <c r="A1" s="1" t="inlineStr">
        <is>
          <t>SOURCES &amp; USES, FUNDING GAP, PHASE II GATE AND COMPUTED AUDIT</t>
        </is>
      </c>
    </row>
    <row r="2">
      <c r="A2" s="2" t="inlineStr">
        <is>
          <t>This tab is the honest funding layer: it includes the close-day uses omitted by the original cash flow and the Phase II double-spend test.</t>
        </is>
      </c>
    </row>
    <row r="4">
      <c r="A4" s="3" t="inlineStr">
        <is>
          <t>1. SOURCES &amp; USES AT CLOSE (€)</t>
        </is>
      </c>
    </row>
    <row r="5">
      <c r="A5" s="4" t="inlineStr">
        <is>
          <t>Case</t>
        </is>
      </c>
      <c r="B5" s="4" t="inlineStr">
        <is>
          <t>Uses at close</t>
        </is>
      </c>
      <c r="C5" s="4" t="inlineStr">
        <is>
          <t>Sources at close</t>
        </is>
      </c>
      <c r="D5" s="4" t="inlineStr">
        <is>
          <t>Gap at close</t>
        </is>
      </c>
      <c r="E5" s="4" t="inlineStr">
        <is>
          <t>Adj. cash Y1</t>
        </is>
      </c>
      <c r="F5" s="4" t="inlineStr">
        <is>
          <t>DSCR Y1</t>
        </is>
      </c>
      <c r="G5" s="4" t="inlineStr">
        <is>
          <t>Credit line drawn</t>
        </is>
      </c>
      <c r="H5" s="4" t="inlineStr">
        <is>
          <t>Status</t>
        </is>
      </c>
      <c r="I5" s="4" t="inlineStr">
        <is>
          <t>Check</t>
        </is>
      </c>
    </row>
    <row r="6">
      <c r="A6" s="5" t="inlineStr">
        <is>
          <t>management</t>
        </is>
      </c>
      <c r="B6" s="8" t="n">
        <v>948858.1800000001</v>
      </c>
      <c r="C6" s="8" t="n">
        <v>878090</v>
      </c>
      <c r="D6" s="8" t="n">
        <v>-70768.17999999999</v>
      </c>
      <c r="E6" s="8" t="n">
        <v>-55978.44</v>
      </c>
      <c r="F6" s="22" t="n">
        <v>1.34</v>
      </c>
      <c r="G6" s="8" t="n">
        <v>143596.37</v>
      </c>
      <c r="H6" s="6" t="inlineStr">
        <is>
          <t>UNDERFUNDED - additional equity required at close</t>
        </is>
      </c>
      <c r="I6" s="23">
        <f>IF(D6&gt;=0,"PASS","FAIL")</f>
        <v/>
      </c>
    </row>
    <row r="7">
      <c r="A7" s="5" t="inlineStr">
        <is>
          <t>market</t>
        </is>
      </c>
      <c r="B7" s="8" t="n">
        <v>948858.1800000001</v>
      </c>
      <c r="C7" s="8" t="n">
        <v>878090</v>
      </c>
      <c r="D7" s="8" t="n">
        <v>-70768.17999999999</v>
      </c>
      <c r="E7" s="8" t="n">
        <v>-96683.53999999999</v>
      </c>
      <c r="F7" s="22" t="n">
        <v>0.4</v>
      </c>
      <c r="G7" s="8" t="n">
        <v>147284.89</v>
      </c>
      <c r="H7" s="6" t="inlineStr">
        <is>
          <t>UNDERFUNDED - additional equity required at close</t>
        </is>
      </c>
      <c r="I7" s="23">
        <f>IF(D7&gt;=0,"PASS","FAIL")</f>
        <v/>
      </c>
    </row>
    <row r="8">
      <c r="A8" s="5" t="inlineStr">
        <is>
          <t>promoter</t>
        </is>
      </c>
      <c r="B8" s="8" t="n">
        <v>939175.1</v>
      </c>
      <c r="C8" s="8" t="n">
        <v>897250</v>
      </c>
      <c r="D8" s="8" t="n">
        <v>-41925.1</v>
      </c>
      <c r="E8" s="8" t="n">
        <v>-64478.3</v>
      </c>
      <c r="F8" s="22" t="n">
        <v>0.33</v>
      </c>
      <c r="G8" s="8" t="n">
        <v>166752.13</v>
      </c>
      <c r="H8" s="6" t="inlineStr">
        <is>
          <t>UNDERFUNDED - additional equity required at close</t>
        </is>
      </c>
      <c r="I8" s="23">
        <f>IF(D8&gt;=0,"PASS","FAIL")</f>
        <v/>
      </c>
    </row>
    <row r="10">
      <c r="A10" s="3" t="inlineStr">
        <is>
          <t>2. PHASE II PHASE GATE</t>
        </is>
      </c>
    </row>
    <row r="11">
      <c r="A11" s="5" t="inlineStr">
        <is>
          <t>Phase I cash at end of Year 2 (€)</t>
        </is>
      </c>
      <c r="B11" s="8" t="n">
        <v>193949.95</v>
      </c>
    </row>
    <row r="12">
      <c r="A12" s="5" t="inlineStr">
        <is>
          <t>Phase II cash need (net CapEx + VAT) (€)</t>
        </is>
      </c>
      <c r="B12" s="8" t="n">
        <v>435563.7</v>
      </c>
    </row>
    <row r="13">
      <c r="A13" s="5" t="inlineStr">
        <is>
          <t>Phase II funding gap (€)</t>
        </is>
      </c>
      <c r="B13" s="8" t="n">
        <v>-241613.75</v>
      </c>
    </row>
    <row r="14">
      <c r="A14" s="5" t="inlineStr">
        <is>
          <t>Phase I DSCR Year 3 (x)</t>
        </is>
      </c>
      <c r="B14" s="8" t="n">
        <v>1.73</v>
      </c>
    </row>
    <row r="15">
      <c r="A15" s="5" t="inlineStr">
        <is>
          <t>DSCR condition (&gt;= 1.25x)</t>
        </is>
      </c>
      <c r="B15" s="24" t="inlineStr">
        <is>
          <t>PASS</t>
        </is>
      </c>
    </row>
    <row r="16">
      <c r="A16" s="5" t="inlineStr">
        <is>
          <t>Cash condition (Phase I cash &gt;= Phase II need)</t>
        </is>
      </c>
      <c r="B16" s="25" t="inlineStr">
        <is>
          <t>FAIL</t>
        </is>
      </c>
    </row>
    <row r="17">
      <c r="A17" s="5" t="inlineStr">
        <is>
          <t>Phase II proceed</t>
        </is>
      </c>
      <c r="B17" s="25" t="inlineStr">
        <is>
          <t>NO</t>
        </is>
      </c>
    </row>
    <row r="20">
      <c r="A20" s="3" t="inlineStr">
        <is>
          <t>3. COMPUTED AUDIT RULES (THE AUDIT CAN FAIL)</t>
        </is>
      </c>
    </row>
    <row r="21">
      <c r="A21" s="4" t="inlineStr">
        <is>
          <t>Rule ID</t>
        </is>
      </c>
      <c r="B21" s="4" t="inlineStr">
        <is>
          <t>Rule</t>
        </is>
      </c>
      <c r="C21" s="4" t="inlineStr">
        <is>
          <t>Severity</t>
        </is>
      </c>
      <c r="D21" s="4" t="inlineStr">
        <is>
          <t>Status</t>
        </is>
      </c>
      <c r="E21" s="4" t="inlineStr">
        <is>
          <t>Actual</t>
        </is>
      </c>
      <c r="F21" s="4" t="inlineStr">
        <is>
          <t>Threshold</t>
        </is>
      </c>
    </row>
    <row r="22">
      <c r="A22" s="6" t="inlineStr">
        <is>
          <t>RULE_01_BALANCE_SHEET_EQUALITY</t>
        </is>
      </c>
      <c r="B22" s="6" t="inlineStr">
        <is>
          <t>Strict double-entry balance-sheet equality</t>
        </is>
      </c>
      <c r="C22" s="6" t="inlineStr">
        <is>
          <t>MATERIAL</t>
        </is>
      </c>
      <c r="D22" s="26" t="inlineStr">
        <is>
          <t>PASSED</t>
        </is>
      </c>
      <c r="E22" s="27" t="n">
        <v>0</v>
      </c>
      <c r="F22" s="27" t="n">
        <v>0.01</v>
      </c>
    </row>
    <row r="23">
      <c r="A23" s="6" t="inlineStr">
        <is>
          <t>RULE_02_HOSPITALITY_VAT_RATE</t>
        </is>
      </c>
      <c r="B23" s="6" t="inlineStr">
        <is>
          <t>Hospitality statutory VAT rate (10%)</t>
        </is>
      </c>
      <c r="C23" s="6" t="inlineStr">
        <is>
          <t>MATERIAL</t>
        </is>
      </c>
      <c r="D23" s="26" t="inlineStr">
        <is>
          <t>PASSED</t>
        </is>
      </c>
      <c r="E23" s="27" t="n">
        <v>0.1</v>
      </c>
      <c r="F23" s="27" t="n">
        <v>0.1</v>
      </c>
    </row>
    <row r="24">
      <c r="A24" s="6" t="inlineStr">
        <is>
          <t>RULE_03_CAPEX_INPUT_VAT</t>
        </is>
      </c>
      <c r="B24" s="6" t="inlineStr">
        <is>
          <t>CapEx input VAT recognised as a fiscal asset</t>
        </is>
      </c>
      <c r="C24" s="6" t="inlineStr">
        <is>
          <t>MATERIAL</t>
        </is>
      </c>
      <c r="D24" s="26" t="inlineStr">
        <is>
          <t>PASSED</t>
        </is>
      </c>
      <c r="E24" s="27" t="n">
        <v>153090</v>
      </c>
      <c r="F24" s="27" t="n">
        <v>153090</v>
      </c>
    </row>
    <row r="25">
      <c r="A25" s="6" t="inlineStr">
        <is>
          <t>RULE_04_PAYROLL_HOURLY_COMPLIANCE</t>
        </is>
      </c>
      <c r="B25" s="6" t="inlineStr">
        <is>
          <t>Payroll hourly compliance (SMI 2026 and Segovia convenio)</t>
        </is>
      </c>
      <c r="C25" s="6" t="inlineStr">
        <is>
          <t>MATERIAL</t>
        </is>
      </c>
      <c r="D25" s="26" t="inlineStr">
        <is>
          <t>PASSED</t>
        </is>
      </c>
      <c r="E25" s="6" t="inlineStr">
        <is>
          <t>min_hourly_gross=9.77, min_reference=9.02, smi_ok=True, convenio_ok=True</t>
        </is>
      </c>
      <c r="F25" s="27" t="n">
        <v>9.69</v>
      </c>
    </row>
    <row r="26">
      <c r="A26" s="6" t="inlineStr">
        <is>
          <t>RULE_05_MANAGEMENT_DSCR</t>
        </is>
      </c>
      <c r="B26" s="6" t="inlineStr">
        <is>
          <t>Management-case Year-1 DSCR covenant</t>
        </is>
      </c>
      <c r="C26" s="6" t="inlineStr">
        <is>
          <t>MATERIAL</t>
        </is>
      </c>
      <c r="D26" s="26" t="inlineStr">
        <is>
          <t>PASSED</t>
        </is>
      </c>
      <c r="E26" s="27" t="n">
        <v>1.34</v>
      </c>
      <c r="F26" s="27" t="n">
        <v>1.25</v>
      </c>
    </row>
    <row r="27">
      <c r="A27" s="6" t="inlineStr">
        <is>
          <t>RULE_06_ADJUSTED_CASH_TROUGH</t>
        </is>
      </c>
      <c r="B27" s="6" t="inlineStr">
        <is>
          <t>Adjusted Year-1 cash after omitted close-day uses</t>
        </is>
      </c>
      <c r="C27" s="6" t="inlineStr">
        <is>
          <t>MATERIAL</t>
        </is>
      </c>
      <c r="D27" s="28" t="inlineStr">
        <is>
          <t>FAILED</t>
        </is>
      </c>
      <c r="E27" s="27" t="n">
        <v>-55978.44</v>
      </c>
      <c r="F27" s="27" t="n">
        <v>0</v>
      </c>
    </row>
    <row r="28">
      <c r="A28" s="6" t="inlineStr">
        <is>
          <t>RULE_07_DSRA_SIZING</t>
        </is>
      </c>
      <c r="B28" s="6" t="inlineStr">
        <is>
          <t>DSRA sizing vs. six months of debt service</t>
        </is>
      </c>
      <c r="C28" s="6" t="inlineStr">
        <is>
          <t>WARNING</t>
        </is>
      </c>
      <c r="D28" s="26" t="inlineStr">
        <is>
          <t>PASSED</t>
        </is>
      </c>
      <c r="E28" s="27" t="n">
        <v>21768.18</v>
      </c>
      <c r="F28" s="27" t="n">
        <v>21768.18</v>
      </c>
    </row>
    <row r="29">
      <c r="A29" s="6" t="inlineStr">
        <is>
          <t>RULE_08_SOURCES_USES_CLOSE</t>
        </is>
      </c>
      <c r="B29" s="6" t="inlineStr">
        <is>
          <t>Sources &amp; uses at close</t>
        </is>
      </c>
      <c r="C29" s="6" t="inlineStr">
        <is>
          <t>MATERIAL</t>
        </is>
      </c>
      <c r="D29" s="28" t="inlineStr">
        <is>
          <t>FAILED</t>
        </is>
      </c>
      <c r="E29" s="27" t="n">
        <v>-70768.17999999999</v>
      </c>
      <c r="F29" s="27" t="n">
        <v>0</v>
      </c>
    </row>
    <row r="30">
      <c r="A30" s="6" t="inlineStr">
        <is>
          <t>RULE_09_CREDIT_LINE_LIMIT</t>
        </is>
      </c>
      <c r="B30" s="6" t="inlineStr">
        <is>
          <t>Credit-line utilisation vs. stated limit</t>
        </is>
      </c>
      <c r="C30" s="6" t="inlineStr">
        <is>
          <t>MATERIAL</t>
        </is>
      </c>
      <c r="D30" s="28" t="inlineStr">
        <is>
          <t>FAILED</t>
        </is>
      </c>
      <c r="E30" s="27" t="n">
        <v>143596.37</v>
      </c>
      <c r="F30" s="27" t="n">
        <v>50000</v>
      </c>
    </row>
    <row r="31">
      <c r="A31" s="6" t="inlineStr">
        <is>
          <t>RULE_10_OCCUPANCY_VS_INE</t>
        </is>
      </c>
      <c r="B31" s="6" t="inlineStr">
        <is>
          <t>Management occupancy vs. INE market benchmark</t>
        </is>
      </c>
      <c r="C31" s="6" t="inlineStr">
        <is>
          <t>WARNING</t>
        </is>
      </c>
      <c r="D31" s="28" t="inlineStr">
        <is>
          <t>FAILED</t>
        </is>
      </c>
      <c r="E31" s="27" t="n">
        <v>1.48</v>
      </c>
      <c r="F31" s="27" t="n">
        <v>1.1</v>
      </c>
    </row>
    <row r="32">
      <c r="A32" s="6" t="inlineStr">
        <is>
          <t>RULE_11_PHASE2_SELF_FUNDING</t>
        </is>
      </c>
      <c r="B32" s="6" t="inlineStr">
        <is>
          <t>Phase II self-funding / phase gate</t>
        </is>
      </c>
      <c r="C32" s="6" t="inlineStr">
        <is>
          <t>MATERIAL</t>
        </is>
      </c>
      <c r="D32" s="28" t="inlineStr">
        <is>
          <t>FAILED</t>
        </is>
      </c>
      <c r="E32" s="27" t="n">
        <v>-241613.75</v>
      </c>
      <c r="F32" s="27" t="n">
        <v>0</v>
      </c>
    </row>
    <row r="33">
      <c r="A33" s="6" t="inlineStr">
        <is>
          <t>RULE_12_RETURNS_VS_WACC</t>
        </is>
      </c>
      <c r="B33" s="6" t="inlineStr">
        <is>
          <t>Project IRR with exit vs. 8% WACC</t>
        </is>
      </c>
      <c r="C33" s="6" t="inlineStr">
        <is>
          <t>MATERIAL</t>
        </is>
      </c>
      <c r="D33" s="26" t="inlineStr">
        <is>
          <t>PASSED</t>
        </is>
      </c>
      <c r="E33" s="27" t="n">
        <v>0.154291</v>
      </c>
      <c r="F33" s="27" t="n">
        <v>0.08</v>
      </c>
    </row>
    <row r="34">
      <c r="A34" s="6" t="inlineStr">
        <is>
          <t>RULE_13_PROMOTER_REPLICATION</t>
        </is>
      </c>
      <c r="B34" s="6" t="inlineStr">
        <is>
          <t>Promoter-case replication of the original simulator</t>
        </is>
      </c>
      <c r="C34" s="6" t="inlineStr">
        <is>
          <t>INFO</t>
        </is>
      </c>
      <c r="D34" s="26" t="inlineStr">
        <is>
          <t>PASSED</t>
        </is>
      </c>
      <c r="E34" s="6" t="inlineStr">
        <is>
          <t>revenue=86275.0, ebitda=11297.0</t>
        </is>
      </c>
      <c r="F34" s="6" t="inlineStr">
        <is>
          <t>{'revenue': 86275.0, 'ebitda': 11297.0}</t>
        </is>
      </c>
    </row>
    <row r="35">
      <c r="A35" s="6" t="inlineStr">
        <is>
          <t>RULE_14_MARKET_DSCR</t>
        </is>
      </c>
      <c r="B35" s="6" t="inlineStr">
        <is>
          <t>INE market-case Year-1 DSCR covenant</t>
        </is>
      </c>
      <c r="C35" s="6" t="inlineStr">
        <is>
          <t>MATERIAL</t>
        </is>
      </c>
      <c r="D35" s="28" t="inlineStr">
        <is>
          <t>FAILED</t>
        </is>
      </c>
      <c r="E35" s="27" t="n">
        <v>0.4</v>
      </c>
      <c r="F35" s="27" t="n">
        <v>1.25</v>
      </c>
    </row>
    <row r="37">
      <c r="A37" s="3" t="inlineStr">
        <is>
          <t>AUDIT VERDICT</t>
        </is>
      </c>
      <c r="B37" s="29" t="inlineStr">
        <is>
          <t>CONDITIONAL - 5 MATERIAL EXCEPTION(S)</t>
        </is>
      </c>
    </row>
    <row r="39">
      <c r="A39" s="3" t="inlineStr">
        <is>
          <t>4. KEY FUNDING FINDINGS</t>
        </is>
      </c>
    </row>
    <row r="40">
      <c r="A40" s="10" t="inlineStr">
        <is>
          <t>• The management case's close-day uses are €948,858 vs. €878,090 of sources: a €70,768 gap before any operating cash flow.</t>
        </is>
      </c>
    </row>
    <row r="41">
      <c r="A41" s="10" t="inlineStr">
        <is>
          <t>• The model draws a €143,596 VAT bridge, but the stated revolving credit line is €50,000. The bridge must be disclosed as a separate facility.</t>
        </is>
      </c>
    </row>
    <row r="42">
      <c r="A42" s="10" t="inlineStr">
        <is>
          <t>• The LEADER grant (€163,000) arrives in Month 14 and cannot fund close-day uses.</t>
        </is>
      </c>
    </row>
    <row r="43">
      <c r="A43" s="10" t="inlineStr">
        <is>
          <t>• Phase II needs €435,564 but Phase I only generates €193,950 of cash by the end of Year 2: a €241,614 funding gap.</t>
        </is>
      </c>
    </row>
    <row r="44">
      <c r="A44" s="10" t="inlineStr">
        <is>
          <t>• The audit verdict is CONDITIONAL: 5 material exceptions and 1 warning. This is deliberate, not a bug.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9" customWidth="1" min="2" max="2"/>
    <col width="25" customWidth="1" min="3" max="3"/>
    <col width="18" customWidth="1" min="4" max="4"/>
    <col width="42" customWidth="1" min="5" max="5"/>
  </cols>
  <sheetData>
    <row r="1">
      <c r="A1" s="1" t="inlineStr">
        <is>
          <t>LA DEHESA DEL CASTRILLO S.L. - MANAGEMENT (UPSIDE) CASE &amp; UNDERWRITING SCORECARD</t>
        </is>
      </c>
    </row>
    <row r="2">
      <c r="A2" s="2" t="inlineStr">
        <is>
          <t>Location: Segovia, Spain | CapEx: 729,000 € | Capital Structure: 70% Senior Mortgage / 30% Sponsor Equity</t>
        </is>
      </c>
    </row>
    <row r="3"/>
    <row r="4">
      <c r="A4" s="30" t="inlineStr">
        <is>
          <t>Underwriting Metric</t>
        </is>
      </c>
      <c r="B4" s="30" t="inlineStr">
        <is>
          <t>Year 1 (Ramp-up)</t>
        </is>
      </c>
      <c r="C4" s="30" t="inlineStr">
        <is>
          <t>Year 2 (Stabilization)</t>
        </is>
      </c>
      <c r="D4" s="30" t="inlineStr">
        <is>
          <t>Year 3 (Mature)</t>
        </is>
      </c>
      <c r="E4" s="30" t="inlineStr">
        <is>
          <t>Benchmark / Covenant</t>
        </is>
      </c>
    </row>
    <row r="5">
      <c r="A5" s="6" t="inlineStr">
        <is>
          <t>Gross Revenue (€)</t>
        </is>
      </c>
      <c r="B5" s="31" t="inlineStr">
        <is>
          <t>154,548.00</t>
        </is>
      </c>
      <c r="C5" s="31" t="inlineStr">
        <is>
          <t>171,720.00</t>
        </is>
      </c>
      <c r="D5" s="31" t="inlineStr">
        <is>
          <t>180,306.00</t>
        </is>
      </c>
      <c r="E5" s="6" t="inlineStr">
        <is>
          <t>Management 31.36%; INE market 21.24%</t>
        </is>
      </c>
    </row>
    <row r="6">
      <c r="A6" s="32" t="inlineStr">
        <is>
          <t>EBITDA (€)</t>
        </is>
      </c>
      <c r="B6" s="33" t="inlineStr">
        <is>
          <t>66,086.46</t>
        </is>
      </c>
      <c r="C6" s="33" t="inlineStr">
        <is>
          <t>81,455.40</t>
        </is>
      </c>
      <c r="D6" s="33" t="inlineStr">
        <is>
          <t>89,139.87</t>
        </is>
      </c>
      <c r="E6" s="32" t="inlineStr">
        <is>
          <t>Margin: 42.8% to 49.4%</t>
        </is>
      </c>
    </row>
    <row r="7">
      <c r="A7" s="6" t="inlineStr">
        <is>
          <t>Net Income (€)</t>
        </is>
      </c>
      <c r="B7" s="31" t="inlineStr">
        <is>
          <t>23,281.10</t>
        </is>
      </c>
      <c r="C7" s="31" t="inlineStr">
        <is>
          <t>29,583.10</t>
        </is>
      </c>
      <c r="D7" s="31" t="inlineStr">
        <is>
          <t>41,993.32</t>
        </is>
      </c>
      <c r="E7" s="6" t="inlineStr">
        <is>
          <t>25% tax; no BIN shield in this case</t>
        </is>
      </c>
    </row>
    <row r="8">
      <c r="A8" s="32" t="inlineStr">
        <is>
          <t>Ending Cash (€)</t>
        </is>
      </c>
      <c r="B8" s="33" t="inlineStr">
        <is>
          <t>10,789.74</t>
        </is>
      </c>
      <c r="C8" s="33" t="inlineStr">
        <is>
          <t>193,949.95</t>
        </is>
      </c>
      <c r="D8" s="33" t="inlineStr">
        <is>
          <t>225,555.69</t>
        </is>
      </c>
      <c r="E8" s="32" t="inlineStr">
        <is>
          <t>Before omitted close-day uses; see Funding &amp; Audit</t>
        </is>
      </c>
    </row>
    <row r="9">
      <c r="A9" s="6" t="inlineStr">
        <is>
          <t>Senior Debt Balance (€)</t>
        </is>
      </c>
      <c r="B9" s="31" t="inlineStr">
        <is>
          <t>481,308.64</t>
        </is>
      </c>
      <c r="C9" s="31" t="inlineStr">
        <is>
          <t>454,185.75</t>
        </is>
      </c>
      <c r="D9" s="31" t="inlineStr">
        <is>
          <t>426,098.17</t>
        </is>
      </c>
      <c r="E9" s="6" t="inlineStr">
        <is>
          <t>15-year French mortgage (€507.5k)</t>
        </is>
      </c>
    </row>
    <row r="10">
      <c r="A10" s="32" t="inlineStr">
        <is>
          <t>Debt Service Coverage (DSCR)</t>
        </is>
      </c>
      <c r="B10" s="33" t="inlineStr">
        <is>
          <t>1.34x</t>
        </is>
      </c>
      <c r="C10" s="33" t="inlineStr">
        <is>
          <t>1.64x</t>
        </is>
      </c>
      <c r="D10" s="33" t="inlineStr">
        <is>
          <t>1.73x</t>
        </is>
      </c>
      <c r="E10" s="32" t="inlineStr">
        <is>
          <t>Bank Covenant Floor &gt;= 1.25x</t>
        </is>
      </c>
    </row>
    <row r="11">
      <c r="A11" s="6" t="inlineStr">
        <is>
          <t>Interest Coverage (ICR)</t>
        </is>
      </c>
      <c r="B11" s="31" t="inlineStr">
        <is>
          <t>3.81x</t>
        </is>
      </c>
      <c r="C11" s="31" t="inlineStr">
        <is>
          <t>4.96x</t>
        </is>
      </c>
      <c r="D11" s="31" t="inlineStr">
        <is>
          <t>5.77x</t>
        </is>
      </c>
      <c r="E11" s="6" t="inlineStr">
        <is>
          <t>Conservative interest coverage</t>
        </is>
      </c>
    </row>
    <row r="12">
      <c r="A12" s="32" t="inlineStr">
        <is>
          <t>Balance Sheet Discrepancy</t>
        </is>
      </c>
      <c r="B12" s="33" t="inlineStr">
        <is>
          <t>0.00 €</t>
        </is>
      </c>
      <c r="C12" s="33" t="inlineStr">
        <is>
          <t>0.00 €</t>
        </is>
      </c>
      <c r="D12" s="33" t="inlineStr">
        <is>
          <t>0.00 €</t>
        </is>
      </c>
      <c r="E12" s="32" t="inlineStr">
        <is>
          <t>Strict double-entry equality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8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5" customWidth="1" min="3" max="3"/>
    <col width="16" customWidth="1" min="4" max="4"/>
    <col width="13" customWidth="1" min="5" max="5"/>
    <col width="12" customWidth="1" min="6" max="6"/>
    <col width="15" customWidth="1" min="7" max="7"/>
    <col width="12" customWidth="1" min="8" max="8"/>
    <col width="19" customWidth="1" min="9" max="9"/>
    <col width="12" customWidth="1" min="10" max="10"/>
    <col width="16" customWidth="1" min="11" max="11"/>
    <col width="13" customWidth="1" min="12" max="12"/>
    <col width="13" customWidth="1" min="13" max="13"/>
    <col width="12" customWidth="1" min="14" max="14"/>
    <col width="12" customWidth="1" min="15" max="15"/>
    <col width="14" customWidth="1" min="16" max="16"/>
    <col width="12" customWidth="1" min="17" max="17"/>
    <col width="15" customWidth="1" min="18" max="18"/>
    <col width="13" customWidth="1" min="19" max="19"/>
    <col width="15" customWidth="1" min="20" max="20"/>
    <col width="28" customWidth="1" min="21" max="21"/>
  </cols>
  <sheetData>
    <row r="1">
      <c r="A1" s="1" t="inlineStr">
        <is>
          <t>FIVE-YEAR INTEGRATED FINANCIAL STATEMENTS (P&amp;L, CASH FLOW, BALANCE SHEET)</t>
        </is>
      </c>
    </row>
    <row r="2"/>
    <row r="3">
      <c r="A3" s="30" t="inlineStr">
        <is>
          <t>Year</t>
        </is>
      </c>
      <c r="B3" s="30" t="inlineStr">
        <is>
          <t>Total Revenue</t>
        </is>
      </c>
      <c r="C3" s="30" t="inlineStr">
        <is>
          <t>Gross Margin</t>
        </is>
      </c>
      <c r="D3" s="30" t="inlineStr">
        <is>
          <t>Labor Expense</t>
        </is>
      </c>
      <c r="E3" s="30" t="inlineStr">
        <is>
          <t>Fixed Opex</t>
        </is>
      </c>
      <c r="F3" s="30" t="inlineStr">
        <is>
          <t>Ebitda</t>
        </is>
      </c>
      <c r="G3" s="30" t="inlineStr">
        <is>
          <t>Depreciation</t>
        </is>
      </c>
      <c r="H3" s="30" t="inlineStr">
        <is>
          <t>Ebit</t>
        </is>
      </c>
      <c r="I3" s="30" t="inlineStr">
        <is>
          <t>Interest Expense</t>
        </is>
      </c>
      <c r="J3" s="30" t="inlineStr">
        <is>
          <t>Ebt</t>
        </is>
      </c>
      <c r="K3" s="30" t="inlineStr">
        <is>
          <t>Corporate Tax</t>
        </is>
      </c>
      <c r="L3" s="30" t="inlineStr">
        <is>
          <t>Net Income</t>
        </is>
      </c>
      <c r="M3" s="30" t="inlineStr">
        <is>
          <t>Cfo</t>
        </is>
      </c>
      <c r="N3" s="30" t="inlineStr">
        <is>
          <t>Cfi</t>
        </is>
      </c>
      <c r="O3" s="30" t="inlineStr">
        <is>
          <t>Cff</t>
        </is>
      </c>
      <c r="P3" s="30" t="inlineStr">
        <is>
          <t>Ending Cash</t>
        </is>
      </c>
      <c r="Q3" s="30" t="inlineStr">
        <is>
          <t>Net Ppe</t>
        </is>
      </c>
      <c r="R3" s="30" t="inlineStr">
        <is>
          <t>Total Assets</t>
        </is>
      </c>
      <c r="S3" s="30" t="inlineStr">
        <is>
          <t>Total Debt</t>
        </is>
      </c>
      <c r="T3" s="30" t="inlineStr">
        <is>
          <t>Total Equity</t>
        </is>
      </c>
      <c r="U3" s="30" t="inlineStr">
        <is>
          <t>Balance Sheet Discrepancy</t>
        </is>
      </c>
    </row>
    <row r="4">
      <c r="A4" s="6" t="n">
        <v>1</v>
      </c>
      <c r="B4" s="8" t="n">
        <v>154548</v>
      </c>
      <c r="C4" s="8" t="n">
        <v>138320.46</v>
      </c>
      <c r="D4" s="8" t="n">
        <v>60075</v>
      </c>
      <c r="E4" s="8" t="n">
        <v>12159</v>
      </c>
      <c r="F4" s="8" t="n">
        <v>66086.46000000001</v>
      </c>
      <c r="G4" s="8" t="n">
        <v>17700</v>
      </c>
      <c r="H4" s="8" t="n">
        <v>48386.46</v>
      </c>
      <c r="I4" s="8" t="n">
        <v>17345</v>
      </c>
      <c r="J4" s="8" t="n">
        <v>31041.46</v>
      </c>
      <c r="K4" s="8" t="n">
        <v>7760.36</v>
      </c>
      <c r="L4" s="8" t="n">
        <v>23281.1</v>
      </c>
      <c r="M4" s="8" t="n">
        <v>-102615.27</v>
      </c>
      <c r="N4" s="8" t="n">
        <v>-729000</v>
      </c>
      <c r="O4" s="8" t="n">
        <v>842405.01</v>
      </c>
      <c r="P4" s="8" t="n">
        <v>10789.74</v>
      </c>
      <c r="Q4" s="8" t="n">
        <v>711300</v>
      </c>
      <c r="R4" s="8" t="n">
        <v>865686.11</v>
      </c>
      <c r="S4" s="8" t="n">
        <v>481308.64</v>
      </c>
      <c r="T4" s="8" t="n">
        <v>240781.1</v>
      </c>
      <c r="U4" s="8" t="n">
        <v>0</v>
      </c>
    </row>
    <row r="5">
      <c r="A5" s="6" t="n">
        <v>2</v>
      </c>
      <c r="B5" s="8" t="n">
        <v>171720</v>
      </c>
      <c r="C5" s="8" t="n">
        <v>153689.4</v>
      </c>
      <c r="D5" s="8" t="n">
        <v>60075</v>
      </c>
      <c r="E5" s="8" t="n">
        <v>12159</v>
      </c>
      <c r="F5" s="8" t="n">
        <v>81455.39999999999</v>
      </c>
      <c r="G5" s="8" t="n">
        <v>17700</v>
      </c>
      <c r="H5" s="8" t="n">
        <v>63755.4</v>
      </c>
      <c r="I5" s="8" t="n">
        <v>16413.47</v>
      </c>
      <c r="J5" s="8" t="n">
        <v>39444.13</v>
      </c>
      <c r="K5" s="8" t="n">
        <v>9861.030000000001</v>
      </c>
      <c r="L5" s="8" t="n">
        <v>29583.1</v>
      </c>
      <c r="M5" s="8" t="n">
        <v>190879.47</v>
      </c>
      <c r="N5" s="8" t="n">
        <v>0</v>
      </c>
      <c r="O5" s="8" t="n">
        <v>-7719.26</v>
      </c>
      <c r="P5" s="8" t="n">
        <v>193949.95</v>
      </c>
      <c r="Q5" s="8" t="n">
        <v>693600</v>
      </c>
      <c r="R5" s="8" t="n">
        <v>887549.95</v>
      </c>
      <c r="S5" s="8" t="n">
        <v>454185.75</v>
      </c>
      <c r="T5" s="8" t="n">
        <v>433364.2</v>
      </c>
      <c r="U5" s="8" t="n">
        <v>0</v>
      </c>
    </row>
    <row r="6">
      <c r="A6" s="6" t="n">
        <v>3</v>
      </c>
      <c r="B6" s="8" t="n">
        <v>180306</v>
      </c>
      <c r="C6" s="8" t="n">
        <v>161373.87</v>
      </c>
      <c r="D6" s="8" t="n">
        <v>60075</v>
      </c>
      <c r="E6" s="8" t="n">
        <v>12159</v>
      </c>
      <c r="F6" s="8" t="n">
        <v>89139.87</v>
      </c>
      <c r="G6" s="8" t="n">
        <v>17700</v>
      </c>
      <c r="H6" s="8" t="n">
        <v>71439.87</v>
      </c>
      <c r="I6" s="8" t="n">
        <v>15448.78</v>
      </c>
      <c r="J6" s="8" t="n">
        <v>55991.09</v>
      </c>
      <c r="K6" s="8" t="n">
        <v>13997.77</v>
      </c>
      <c r="L6" s="8" t="n">
        <v>41993.32</v>
      </c>
      <c r="M6" s="8" t="n">
        <v>59693.32</v>
      </c>
      <c r="N6" s="8" t="n">
        <v>0</v>
      </c>
      <c r="O6" s="8" t="n">
        <v>-28087.58</v>
      </c>
      <c r="P6" s="8" t="n">
        <v>225555.69</v>
      </c>
      <c r="Q6" s="8" t="n">
        <v>675900</v>
      </c>
      <c r="R6" s="8" t="n">
        <v>901455.6899999999</v>
      </c>
      <c r="S6" s="8" t="n">
        <v>426098.17</v>
      </c>
      <c r="T6" s="8" t="n">
        <v>475357.52</v>
      </c>
      <c r="U6" s="8" t="n">
        <v>0</v>
      </c>
    </row>
    <row r="7">
      <c r="A7" s="6" t="n">
        <v>4</v>
      </c>
      <c r="B7" s="8" t="n">
        <v>180306</v>
      </c>
      <c r="C7" s="8" t="n">
        <v>161373.87</v>
      </c>
      <c r="D7" s="8" t="n">
        <v>60075</v>
      </c>
      <c r="E7" s="8" t="n">
        <v>12159</v>
      </c>
      <c r="F7" s="8" t="n">
        <v>89139.87</v>
      </c>
      <c r="G7" s="8" t="n">
        <v>17700</v>
      </c>
      <c r="H7" s="8" t="n">
        <v>71439.87</v>
      </c>
      <c r="I7" s="8" t="n">
        <v>14449.79</v>
      </c>
      <c r="J7" s="8" t="n">
        <v>56990.08</v>
      </c>
      <c r="K7" s="8" t="n">
        <v>14247.52</v>
      </c>
      <c r="L7" s="8" t="n">
        <v>42742.56</v>
      </c>
      <c r="M7" s="8" t="n">
        <v>60442.56</v>
      </c>
      <c r="N7" s="8" t="n">
        <v>0</v>
      </c>
      <c r="O7" s="8" t="n">
        <v>-29086.57</v>
      </c>
      <c r="P7" s="8" t="n">
        <v>256911.68</v>
      </c>
      <c r="Q7" s="8" t="n">
        <v>658200</v>
      </c>
      <c r="R7" s="8" t="n">
        <v>915111.6800000001</v>
      </c>
      <c r="S7" s="8" t="n">
        <v>397011.6</v>
      </c>
      <c r="T7" s="8" t="n">
        <v>518100.08</v>
      </c>
      <c r="U7" s="8" t="n">
        <v>0</v>
      </c>
    </row>
    <row r="8">
      <c r="A8" s="6" t="n">
        <v>5</v>
      </c>
      <c r="B8" s="8" t="n">
        <v>180306</v>
      </c>
      <c r="C8" s="8" t="n">
        <v>161373.87</v>
      </c>
      <c r="D8" s="8" t="n">
        <v>60075</v>
      </c>
      <c r="E8" s="8" t="n">
        <v>12159</v>
      </c>
      <c r="F8" s="8" t="n">
        <v>89139.87</v>
      </c>
      <c r="G8" s="8" t="n">
        <v>17700</v>
      </c>
      <c r="H8" s="8" t="n">
        <v>71439.87</v>
      </c>
      <c r="I8" s="8" t="n">
        <v>13415.27</v>
      </c>
      <c r="J8" s="8" t="n">
        <v>58024.6</v>
      </c>
      <c r="K8" s="8" t="n">
        <v>14506.15</v>
      </c>
      <c r="L8" s="8" t="n">
        <v>43518.45</v>
      </c>
      <c r="M8" s="8" t="n">
        <v>61218.45</v>
      </c>
      <c r="N8" s="8" t="n">
        <v>0</v>
      </c>
      <c r="O8" s="8" t="n">
        <v>-30121.09</v>
      </c>
      <c r="P8" s="8" t="n">
        <v>288009.04</v>
      </c>
      <c r="Q8" s="8" t="n">
        <v>640500</v>
      </c>
      <c r="R8" s="8" t="n">
        <v>928509.04</v>
      </c>
      <c r="S8" s="8" t="n">
        <v>366890.51</v>
      </c>
      <c r="T8" s="8" t="n">
        <v>561618.53</v>
      </c>
      <c r="U8" s="8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12" customWidth="1" min="4" max="4"/>
    <col width="12" customWidth="1" min="5" max="5"/>
    <col width="17" customWidth="1" min="6" max="6"/>
    <col width="18" customWidth="1" min="7" max="7"/>
    <col width="17" customWidth="1" min="8" max="8"/>
  </cols>
  <sheetData>
    <row r="1">
      <c r="A1" s="1" t="inlineStr">
        <is>
          <t>SENIOR DEBT AMORTIZATION SCHEDULE (FRENCH SYSTEM - 15 YEARS)</t>
        </is>
      </c>
    </row>
    <row r="2"/>
    <row r="3">
      <c r="A3" s="34" t="inlineStr">
        <is>
          <t>Year</t>
        </is>
      </c>
      <c r="B3" s="34" t="inlineStr">
        <is>
          <t>Beginning Balance</t>
        </is>
      </c>
      <c r="C3" s="34" t="inlineStr">
        <is>
          <t>Payment</t>
        </is>
      </c>
      <c r="D3" s="34" t="inlineStr">
        <is>
          <t>Principal</t>
        </is>
      </c>
      <c r="E3" s="34" t="inlineStr">
        <is>
          <t>Interest</t>
        </is>
      </c>
      <c r="F3" s="34" t="inlineStr">
        <is>
          <t>Ending Balance</t>
        </is>
      </c>
      <c r="G3" s="34" t="inlineStr">
        <is>
          <t>Short Term Debt</t>
        </is>
      </c>
      <c r="H3" s="34" t="inlineStr">
        <is>
          <t>Long Term Debt</t>
        </is>
      </c>
    </row>
    <row r="4">
      <c r="A4" s="6" t="n">
        <v>1</v>
      </c>
      <c r="B4" s="8" t="n">
        <v>507500</v>
      </c>
      <c r="C4" s="8" t="n">
        <v>43536.36</v>
      </c>
      <c r="D4" s="8" t="n">
        <v>26191.36</v>
      </c>
      <c r="E4" s="8" t="n">
        <v>17345</v>
      </c>
      <c r="F4" s="8" t="n">
        <v>481308.64</v>
      </c>
      <c r="G4" s="8" t="n">
        <v>27122.89</v>
      </c>
      <c r="H4" s="8" t="n">
        <v>454185.75</v>
      </c>
    </row>
    <row r="5">
      <c r="A5" s="6" t="n">
        <v>2</v>
      </c>
      <c r="B5" s="8" t="n">
        <v>481308.64</v>
      </c>
      <c r="C5" s="8" t="n">
        <v>43536.36</v>
      </c>
      <c r="D5" s="8" t="n">
        <v>27122.89</v>
      </c>
      <c r="E5" s="8" t="n">
        <v>16413.47</v>
      </c>
      <c r="F5" s="8" t="n">
        <v>454185.75</v>
      </c>
      <c r="G5" s="8" t="n">
        <v>28087.58</v>
      </c>
      <c r="H5" s="8" t="n">
        <v>426098.17</v>
      </c>
    </row>
    <row r="6">
      <c r="A6" s="6" t="n">
        <v>3</v>
      </c>
      <c r="B6" s="8" t="n">
        <v>454185.75</v>
      </c>
      <c r="C6" s="8" t="n">
        <v>43536.36</v>
      </c>
      <c r="D6" s="8" t="n">
        <v>28087.58</v>
      </c>
      <c r="E6" s="8" t="n">
        <v>15448.78</v>
      </c>
      <c r="F6" s="8" t="n">
        <v>426098.17</v>
      </c>
      <c r="G6" s="8" t="n">
        <v>29086.57</v>
      </c>
      <c r="H6" s="8" t="n">
        <v>397011.6</v>
      </c>
    </row>
    <row r="7">
      <c r="A7" s="6" t="n">
        <v>4</v>
      </c>
      <c r="B7" s="8" t="n">
        <v>426098.17</v>
      </c>
      <c r="C7" s="8" t="n">
        <v>43536.36</v>
      </c>
      <c r="D7" s="8" t="n">
        <v>29086.57</v>
      </c>
      <c r="E7" s="8" t="n">
        <v>14449.79</v>
      </c>
      <c r="F7" s="8" t="n">
        <v>397011.6</v>
      </c>
      <c r="G7" s="8" t="n">
        <v>30121.09</v>
      </c>
      <c r="H7" s="8" t="n">
        <v>366890.51</v>
      </c>
    </row>
    <row r="8">
      <c r="A8" s="6" t="n">
        <v>5</v>
      </c>
      <c r="B8" s="8" t="n">
        <v>397011.6</v>
      </c>
      <c r="C8" s="8" t="n">
        <v>43536.36</v>
      </c>
      <c r="D8" s="8" t="n">
        <v>30121.09</v>
      </c>
      <c r="E8" s="8" t="n">
        <v>13415.27</v>
      </c>
      <c r="F8" s="8" t="n">
        <v>366890.51</v>
      </c>
      <c r="G8" s="8" t="n">
        <v>31192.42</v>
      </c>
      <c r="H8" s="8" t="n">
        <v>335698.09</v>
      </c>
    </row>
    <row r="9">
      <c r="A9" s="6" t="n">
        <v>6</v>
      </c>
      <c r="B9" s="8" t="n">
        <v>366890.51</v>
      </c>
      <c r="C9" s="8" t="n">
        <v>43536.36</v>
      </c>
      <c r="D9" s="8" t="n">
        <v>31192.42</v>
      </c>
      <c r="E9" s="8" t="n">
        <v>12343.94</v>
      </c>
      <c r="F9" s="8" t="n">
        <v>335698.09</v>
      </c>
      <c r="G9" s="8" t="n">
        <v>32301.85</v>
      </c>
      <c r="H9" s="8" t="n">
        <v>303396.24</v>
      </c>
    </row>
    <row r="10">
      <c r="A10" s="6" t="n">
        <v>7</v>
      </c>
      <c r="B10" s="8" t="n">
        <v>335698.09</v>
      </c>
      <c r="C10" s="8" t="n">
        <v>43536.36</v>
      </c>
      <c r="D10" s="8" t="n">
        <v>32301.85</v>
      </c>
      <c r="E10" s="8" t="n">
        <v>11234.51</v>
      </c>
      <c r="F10" s="8" t="n">
        <v>303396.24</v>
      </c>
      <c r="G10" s="8" t="n">
        <v>33450.72</v>
      </c>
      <c r="H10" s="8" t="n">
        <v>269945.52</v>
      </c>
    </row>
    <row r="11">
      <c r="A11" s="6" t="n">
        <v>8</v>
      </c>
      <c r="B11" s="8" t="n">
        <v>303396.24</v>
      </c>
      <c r="C11" s="8" t="n">
        <v>43536.36</v>
      </c>
      <c r="D11" s="8" t="n">
        <v>33450.72</v>
      </c>
      <c r="E11" s="8" t="n">
        <v>10085.64</v>
      </c>
      <c r="F11" s="8" t="n">
        <v>269945.52</v>
      </c>
      <c r="G11" s="8" t="n">
        <v>34640.45</v>
      </c>
      <c r="H11" s="8" t="n">
        <v>235305.07</v>
      </c>
    </row>
    <row r="12">
      <c r="A12" s="6" t="n">
        <v>9</v>
      </c>
      <c r="B12" s="8" t="n">
        <v>269945.52</v>
      </c>
      <c r="C12" s="8" t="n">
        <v>43536.36</v>
      </c>
      <c r="D12" s="8" t="n">
        <v>34640.45</v>
      </c>
      <c r="E12" s="8" t="n">
        <v>8895.91</v>
      </c>
      <c r="F12" s="8" t="n">
        <v>235305.07</v>
      </c>
      <c r="G12" s="8" t="n">
        <v>35872.49</v>
      </c>
      <c r="H12" s="8" t="n">
        <v>199432.58</v>
      </c>
    </row>
    <row r="13">
      <c r="A13" s="6" t="n">
        <v>10</v>
      </c>
      <c r="B13" s="8" t="n">
        <v>235305.07</v>
      </c>
      <c r="C13" s="8" t="n">
        <v>43536.36</v>
      </c>
      <c r="D13" s="8" t="n">
        <v>35872.49</v>
      </c>
      <c r="E13" s="8" t="n">
        <v>7663.87</v>
      </c>
      <c r="F13" s="8" t="n">
        <v>199432.58</v>
      </c>
      <c r="G13" s="8" t="n">
        <v>37148.39</v>
      </c>
      <c r="H13" s="8" t="n">
        <v>162284.19</v>
      </c>
    </row>
    <row r="14">
      <c r="A14" s="6" t="n">
        <v>11</v>
      </c>
      <c r="B14" s="8" t="n">
        <v>199432.58</v>
      </c>
      <c r="C14" s="8" t="n">
        <v>43536.36</v>
      </c>
      <c r="D14" s="8" t="n">
        <v>37148.39</v>
      </c>
      <c r="E14" s="8" t="n">
        <v>6387.97</v>
      </c>
      <c r="F14" s="8" t="n">
        <v>162284.19</v>
      </c>
      <c r="G14" s="8" t="n">
        <v>38469.64</v>
      </c>
      <c r="H14" s="8" t="n">
        <v>123814.55</v>
      </c>
    </row>
    <row r="15">
      <c r="A15" s="6" t="n">
        <v>12</v>
      </c>
      <c r="B15" s="8" t="n">
        <v>162284.19</v>
      </c>
      <c r="C15" s="8" t="n">
        <v>43536.36</v>
      </c>
      <c r="D15" s="8" t="n">
        <v>38469.64</v>
      </c>
      <c r="E15" s="8" t="n">
        <v>5066.72</v>
      </c>
      <c r="F15" s="8" t="n">
        <v>123814.55</v>
      </c>
      <c r="G15" s="8" t="n">
        <v>39837.88</v>
      </c>
      <c r="H15" s="8" t="n">
        <v>83976.67</v>
      </c>
    </row>
    <row r="16">
      <c r="A16" s="6" t="n">
        <v>13</v>
      </c>
      <c r="B16" s="8" t="n">
        <v>123814.55</v>
      </c>
      <c r="C16" s="8" t="n">
        <v>43536.36</v>
      </c>
      <c r="D16" s="8" t="n">
        <v>39837.88</v>
      </c>
      <c r="E16" s="8" t="n">
        <v>3698.48</v>
      </c>
      <c r="F16" s="8" t="n">
        <v>83976.67</v>
      </c>
      <c r="G16" s="8" t="n">
        <v>41254.82</v>
      </c>
      <c r="H16" s="8" t="n">
        <v>42721.85</v>
      </c>
    </row>
    <row r="17">
      <c r="A17" s="6" t="n">
        <v>14</v>
      </c>
      <c r="B17" s="8" t="n">
        <v>83976.67</v>
      </c>
      <c r="C17" s="8" t="n">
        <v>43536.36</v>
      </c>
      <c r="D17" s="8" t="n">
        <v>41254.82</v>
      </c>
      <c r="E17" s="8" t="n">
        <v>2281.54</v>
      </c>
      <c r="F17" s="8" t="n">
        <v>42721.85</v>
      </c>
      <c r="G17" s="8" t="n">
        <v>42721.85</v>
      </c>
      <c r="H17" s="8" t="n">
        <v>0</v>
      </c>
    </row>
    <row r="18">
      <c r="A18" s="6" t="n">
        <v>15</v>
      </c>
      <c r="B18" s="8" t="n">
        <v>42721.85</v>
      </c>
      <c r="C18" s="8" t="n">
        <v>43536.11</v>
      </c>
      <c r="D18" s="8" t="n">
        <v>42721.85</v>
      </c>
      <c r="E18" s="8" t="n">
        <v>814.26</v>
      </c>
      <c r="F18" s="8" t="n">
        <v>0</v>
      </c>
      <c r="G18" s="8" t="n">
        <v>0</v>
      </c>
      <c r="H18" s="8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SCENARIO COMPARISONS &amp; 2D DSCR SENSITIVITY MATRIX</t>
        </is>
      </c>
    </row>
    <row r="2"/>
    <row r="3">
      <c r="A3" s="34" t="inlineStr">
        <is>
          <t>Métrica</t>
        </is>
      </c>
      <c r="B3" s="34" t="inlineStr">
        <is>
          <t>Conservador (Y1)</t>
        </is>
      </c>
      <c r="C3" s="34" t="inlineStr">
        <is>
          <t>Conservador (Y3)</t>
        </is>
      </c>
      <c r="D3" s="34" t="inlineStr">
        <is>
          <t>Caso Base (Y1)</t>
        </is>
      </c>
      <c r="E3" s="34" t="inlineStr">
        <is>
          <t>Caso Base (Y3)</t>
        </is>
      </c>
      <c r="F3" s="34" t="inlineStr">
        <is>
          <t>Optimista (Y1)</t>
        </is>
      </c>
      <c r="G3" s="34" t="inlineStr">
        <is>
          <t>Optimista (Y3)</t>
        </is>
      </c>
    </row>
    <row r="4">
      <c r="A4" s="6" t="inlineStr">
        <is>
          <t>Ventas Totales (€)</t>
        </is>
      </c>
      <c r="B4" s="6" t="inlineStr">
        <is>
          <t>124,798</t>
        </is>
      </c>
      <c r="C4" s="6" t="inlineStr">
        <is>
          <t>145,597</t>
        </is>
      </c>
      <c r="D4" s="6" t="inlineStr">
        <is>
          <t>154,548</t>
        </is>
      </c>
      <c r="E4" s="6" t="inlineStr">
        <is>
          <t>180,306</t>
        </is>
      </c>
      <c r="F4" s="6" t="inlineStr">
        <is>
          <t>204,003</t>
        </is>
      </c>
      <c r="G4" s="6" t="inlineStr">
        <is>
          <t>238,004</t>
        </is>
      </c>
    </row>
    <row r="5">
      <c r="A5" s="6" t="inlineStr">
        <is>
          <t>EBITDA (€)</t>
        </is>
      </c>
      <c r="B5" s="6" t="inlineStr">
        <is>
          <t>32,236</t>
        </is>
      </c>
      <c r="C5" s="6" t="inlineStr">
        <is>
          <t>50,852</t>
        </is>
      </c>
      <c r="D5" s="6" t="inlineStr">
        <is>
          <t>66,086</t>
        </is>
      </c>
      <c r="E5" s="6" t="inlineStr">
        <is>
          <t>89,140</t>
        </is>
      </c>
      <c r="F5" s="6" t="inlineStr">
        <is>
          <t>111,794</t>
        </is>
      </c>
      <c r="G5" s="6" t="inlineStr">
        <is>
          <t>142,224</t>
        </is>
      </c>
    </row>
    <row r="6">
      <c r="A6" s="6" t="inlineStr">
        <is>
          <t>Beneficio Neto (€)</t>
        </is>
      </c>
      <c r="B6" s="6" t="inlineStr">
        <is>
          <t>-10,309</t>
        </is>
      </c>
      <c r="C6" s="6" t="inlineStr">
        <is>
          <t>10,753</t>
        </is>
      </c>
      <c r="D6" s="6" t="inlineStr">
        <is>
          <t>23,281</t>
        </is>
      </c>
      <c r="E6" s="6" t="inlineStr">
        <is>
          <t>41,993</t>
        </is>
      </c>
      <c r="F6" s="6" t="inlineStr">
        <is>
          <t>59,431</t>
        </is>
      </c>
      <c r="G6" s="6" t="inlineStr">
        <is>
          <t>83,513</t>
        </is>
      </c>
    </row>
    <row r="7">
      <c r="A7" s="6" t="inlineStr">
        <is>
          <t>Caja Final de Ejercicio (€)</t>
        </is>
      </c>
      <c r="B7" s="6" t="inlineStr">
        <is>
          <t>-19,923</t>
        </is>
      </c>
      <c r="C7" s="6" t="inlineStr">
        <is>
          <t>134,218</t>
        </is>
      </c>
      <c r="D7" s="6" t="inlineStr">
        <is>
          <t>10,790</t>
        </is>
      </c>
      <c r="E7" s="6" t="inlineStr">
        <is>
          <t>225,556</t>
        </is>
      </c>
      <c r="F7" s="6" t="inlineStr">
        <is>
          <t>45,927</t>
        </is>
      </c>
      <c r="G7" s="6" t="inlineStr">
        <is>
          <t>340,430</t>
        </is>
      </c>
    </row>
    <row r="8">
      <c r="A8" s="6" t="inlineStr">
        <is>
          <t>Cobertura de Deuda (DSCR)</t>
        </is>
      </c>
      <c r="B8" s="6" t="inlineStr">
        <is>
          <t>0.67x</t>
        </is>
      </c>
      <c r="C8" s="6" t="inlineStr">
        <is>
          <t>1.06x</t>
        </is>
      </c>
      <c r="D8" s="6" t="inlineStr">
        <is>
          <t>1.34x</t>
        </is>
      </c>
      <c r="E8" s="6" t="inlineStr">
        <is>
          <t>1.73x</t>
        </is>
      </c>
      <c r="F8" s="6" t="inlineStr">
        <is>
          <t>2.19x</t>
        </is>
      </c>
      <c r="G8" s="6" t="inlineStr">
        <is>
          <t>2.72x</t>
        </is>
      </c>
    </row>
    <row r="9">
      <c r="A9" s="6" t="inlineStr">
        <is>
          <t>Cobertura de Intereses (ICR)</t>
        </is>
      </c>
      <c r="B9" s="6" t="inlineStr">
        <is>
          <t>1.30x</t>
        </is>
      </c>
      <c r="C9" s="6" t="inlineStr">
        <is>
          <t>2.27x</t>
        </is>
      </c>
      <c r="D9" s="6" t="inlineStr">
        <is>
          <t>3.81x</t>
        </is>
      </c>
      <c r="E9" s="6" t="inlineStr">
        <is>
          <t>5.77x</t>
        </is>
      </c>
      <c r="F9" s="6" t="inlineStr">
        <is>
          <t>7.53x</t>
        </is>
      </c>
      <c r="G9" s="6" t="inlineStr">
        <is>
          <t>10.80x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5" customWidth="1" min="2" max="2"/>
  </cols>
  <sheetData>
    <row r="1">
      <c r="A1" s="1" t="inlineStr">
        <is>
          <t>MONTE CARLO STOCHASTIC CREDIT RISK SIMULATION (N=1,000)</t>
        </is>
      </c>
    </row>
    <row r="2"/>
    <row r="3">
      <c r="A3" s="34" t="inlineStr">
        <is>
          <t>Simulation Parameter</t>
        </is>
      </c>
      <c r="B3" s="34" t="inlineStr">
        <is>
          <t>Result Value</t>
        </is>
      </c>
    </row>
    <row r="4">
      <c r="A4" s="6" t="inlineStr">
        <is>
          <t>Simulations Executed</t>
        </is>
      </c>
      <c r="B4" s="5" t="inlineStr">
        <is>
          <t>1,000</t>
        </is>
      </c>
    </row>
    <row r="5">
      <c r="A5" s="6" t="inlineStr">
        <is>
          <t>Mean DSCR (Year 1)</t>
        </is>
      </c>
      <c r="B5" s="5" t="inlineStr">
        <is>
          <t>1.36x</t>
        </is>
      </c>
    </row>
    <row r="6">
      <c r="A6" s="6" t="inlineStr">
        <is>
          <t>Median DSCR (Year 1)</t>
        </is>
      </c>
      <c r="B6" s="5" t="inlineStr">
        <is>
          <t>1.34x</t>
        </is>
      </c>
    </row>
    <row r="7">
      <c r="A7" s="6" t="inlineStr">
        <is>
          <t>VaR 95% DSCR (5th Percentile)</t>
        </is>
      </c>
      <c r="B7" s="5" t="inlineStr">
        <is>
          <t>0.88x</t>
        </is>
      </c>
    </row>
    <row r="8">
      <c r="A8" s="6" t="inlineStr">
        <is>
          <t>P(Covenant Breach) [DSCR &lt; 1.25x]</t>
        </is>
      </c>
      <c r="B8" s="5" t="inlineStr">
        <is>
          <t>35.4%</t>
        </is>
      </c>
    </row>
    <row r="9">
      <c r="A9" s="6" t="inlineStr">
        <is>
          <t>P(Cash Insolvency) [DSCR &lt; 1.00x]</t>
        </is>
      </c>
      <c r="B9" s="5" t="inlineStr">
        <is>
          <t>9.6%</t>
        </is>
      </c>
    </row>
    <row r="10">
      <c r="A10" s="6" t="inlineStr">
        <is>
          <t>Mean Equity IRR</t>
        </is>
      </c>
      <c r="B10" s="5" t="inlineStr">
        <is>
          <t>-22.9%</t>
        </is>
      </c>
    </row>
    <row r="11">
      <c r="A11" s="6" t="inlineStr">
        <is>
          <t>Mean Ending Cash Year 1</t>
        </is>
      </c>
      <c r="B11" s="5" t="inlineStr">
        <is>
          <t>11,412.70 €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4" customWidth="1" min="4" max="4"/>
    <col width="20" customWidth="1" min="5" max="5"/>
    <col width="20" customWidth="1" min="6" max="6"/>
    <col width="22" customWidth="1" min="7" max="7"/>
    <col width="18" customWidth="1" min="8" max="8"/>
    <col width="18" customWidth="1" min="9" max="9"/>
    <col width="23" customWidth="1" min="10" max="10"/>
  </cols>
  <sheetData>
    <row r="1">
      <c r="A1" s="1" t="inlineStr">
        <is>
          <t>MULTIVARIATE COPULA TAIL RISK &amp; CREDIT COMMITTEE UNDERWRITING</t>
        </is>
      </c>
    </row>
    <row r="2"/>
    <row r="3">
      <c r="A3" s="3" t="inlineStr">
        <is>
          <t>1. MULTIVARIATE COPULA RISK COMPARISON (50,000 SIMULATIONS)</t>
        </is>
      </c>
    </row>
    <row r="4">
      <c r="A4" s="34" t="inlineStr">
        <is>
          <t>Model Specification</t>
        </is>
      </c>
      <c r="B4" s="34" t="inlineStr">
        <is>
          <t>Tail Dep. (Lower / Upper)</t>
        </is>
      </c>
      <c r="C4" s="34" t="inlineStr">
        <is>
          <t>Mean DSCR</t>
        </is>
      </c>
      <c r="D4" s="34" t="inlineStr">
        <is>
          <t>Median DSCR</t>
        </is>
      </c>
      <c r="E4" s="34" t="inlineStr">
        <is>
          <t>VaR 95% (5th pct)</t>
        </is>
      </c>
      <c r="F4" s="34" t="inlineStr">
        <is>
          <t>VaR 99% (1st pct)</t>
        </is>
      </c>
      <c r="G4" s="34" t="inlineStr">
        <is>
          <t>CVaR 99% (Worst 1%)</t>
        </is>
      </c>
      <c r="H4" s="34" t="inlineStr">
        <is>
          <t>P(DSCR &lt; 1.25x)</t>
        </is>
      </c>
      <c r="I4" s="34" t="inlineStr">
        <is>
          <t>P(DSCR &lt; 1.00x)</t>
        </is>
      </c>
      <c r="J4" s="34" t="inlineStr">
        <is>
          <t>CVaR 99% Deficit (€)</t>
        </is>
      </c>
    </row>
    <row r="5">
      <c r="A5" s="6" t="inlineStr">
        <is>
          <t>Gaussian Copula (Benchmark)</t>
        </is>
      </c>
      <c r="B5" s="6" t="inlineStr">
        <is>
          <t>0.00 / 0.00 (Independent)</t>
        </is>
      </c>
      <c r="C5" s="6" t="inlineStr">
        <is>
          <t>1.36x</t>
        </is>
      </c>
      <c r="D5" s="6" t="inlineStr">
        <is>
          <t>1.34x</t>
        </is>
      </c>
      <c r="E5" s="6" t="inlineStr">
        <is>
          <t>0.64x</t>
        </is>
      </c>
      <c r="F5" s="6" t="inlineStr">
        <is>
          <t>0.37x</t>
        </is>
      </c>
      <c r="G5" s="6" t="inlineStr">
        <is>
          <t>0.26x</t>
        </is>
      </c>
      <c r="H5" s="6" t="inlineStr">
        <is>
          <t>42.31%</t>
        </is>
      </c>
      <c r="I5" s="6" t="inlineStr">
        <is>
          <t>21.61%</t>
        </is>
      </c>
      <c r="J5" s="6" t="inlineStr">
        <is>
          <t>33,906 €</t>
        </is>
      </c>
    </row>
    <row r="6">
      <c r="A6" s="6" t="inlineStr">
        <is>
          <t>Student-t Copula (nu=4)</t>
        </is>
      </c>
      <c r="B6" s="6" t="inlineStr">
        <is>
          <t>0.18 / 0.18 (Symmetric)</t>
        </is>
      </c>
      <c r="C6" s="6" t="inlineStr">
        <is>
          <t>1.36x</t>
        </is>
      </c>
      <c r="D6" s="6" t="inlineStr">
        <is>
          <t>1.34x</t>
        </is>
      </c>
      <c r="E6" s="6" t="inlineStr">
        <is>
          <t>0.64x</t>
        </is>
      </c>
      <c r="F6" s="6" t="inlineStr">
        <is>
          <t>0.35x</t>
        </is>
      </c>
      <c r="G6" s="6" t="inlineStr">
        <is>
          <t>0.21x</t>
        </is>
      </c>
      <c r="H6" s="6" t="inlineStr">
        <is>
          <t>42.11%</t>
        </is>
      </c>
      <c r="I6" s="6" t="inlineStr">
        <is>
          <t>21.23%</t>
        </is>
      </c>
      <c r="J6" s="6" t="inlineStr">
        <is>
          <t>36,735 €</t>
        </is>
      </c>
    </row>
    <row r="7">
      <c r="A7" s="6" t="inlineStr">
        <is>
          <t>Clayton Copula (theta=1.8)</t>
        </is>
      </c>
      <c r="B7" s="6" t="inlineStr">
        <is>
          <t>0.68 / 0.00 (Asymmetric Lower)</t>
        </is>
      </c>
      <c r="C7" s="6" t="inlineStr">
        <is>
          <t>1.36x</t>
        </is>
      </c>
      <c r="D7" s="6" t="inlineStr">
        <is>
          <t>1.38x</t>
        </is>
      </c>
      <c r="E7" s="6" t="inlineStr">
        <is>
          <t>0.49x</t>
        </is>
      </c>
      <c r="F7" s="6" t="inlineStr">
        <is>
          <t>0.17x</t>
        </is>
      </c>
      <c r="G7" s="6" t="inlineStr">
        <is>
          <t>0.04x</t>
        </is>
      </c>
      <c r="H7" s="6" t="inlineStr">
        <is>
          <t>40.35%</t>
        </is>
      </c>
      <c r="I7" s="6" t="inlineStr">
        <is>
          <t>23.23%</t>
        </is>
      </c>
      <c r="J7" s="6" t="inlineStr">
        <is>
          <t>47,597 €</t>
        </is>
      </c>
    </row>
    <row r="8"/>
    <row r="9">
      <c r="A9" s="3" t="inlineStr">
        <is>
          <t>2. UNDERWRITING SCORECARD &amp; DSRA SIZING</t>
        </is>
      </c>
    </row>
    <row r="10">
      <c r="A10" s="34" t="inlineStr">
        <is>
          <t>Underwriting Parameter</t>
        </is>
      </c>
      <c r="B10" s="34" t="inlineStr">
        <is>
          <t>Credit Committee Benchmark</t>
        </is>
      </c>
    </row>
    <row r="11">
      <c r="A11" s="6" t="inlineStr">
        <is>
          <t>Facility Requested (Senior Mortgage)</t>
        </is>
      </c>
      <c r="B11" s="5" t="inlineStr">
        <is>
          <t>507,500.00 EUR</t>
        </is>
      </c>
    </row>
    <row r="12">
      <c r="A12" s="6" t="inlineStr">
        <is>
          <t>Total Project CapEx</t>
        </is>
      </c>
      <c r="B12" s="5" t="inlineStr">
        <is>
          <t>729,000.00 EUR</t>
        </is>
      </c>
    </row>
    <row r="13">
      <c r="A13" s="6" t="inlineStr">
        <is>
          <t>Senior Loan-to-Value (Total CapEx)</t>
        </is>
      </c>
      <c r="B13" s="5" t="inlineStr">
        <is>
          <t>69.6%</t>
        </is>
      </c>
    </row>
    <row r="14">
      <c r="A14" s="6" t="inlineStr">
        <is>
          <t>Baseline Year 1 DSCR</t>
        </is>
      </c>
      <c r="B14" s="5" t="inlineStr">
        <is>
          <t>1.34x</t>
        </is>
      </c>
    </row>
    <row r="15">
      <c r="A15" s="6" t="inlineStr">
        <is>
          <t>Mature Year 3 DSCR</t>
        </is>
      </c>
      <c r="B15" s="5" t="inlineStr">
        <is>
          <t>1.73x</t>
        </is>
      </c>
    </row>
    <row r="16">
      <c r="A16" s="6" t="inlineStr">
        <is>
          <t>Operating Break-Even Occupancy</t>
        </is>
      </c>
      <c r="B16" s="5" t="inlineStr">
        <is>
          <t>18.9%</t>
        </is>
      </c>
    </row>
    <row r="17">
      <c r="A17" s="6" t="inlineStr">
        <is>
          <t>Debt Service Break-Even Occupancy</t>
        </is>
      </c>
      <c r="B17" s="5" t="inlineStr">
        <is>
          <t>30.2%</t>
        </is>
      </c>
    </row>
    <row r="18">
      <c r="A18" s="6" t="inlineStr">
        <is>
          <t>Standard Covenant DSRA (6 Months)</t>
        </is>
      </c>
      <c r="B18" s="5" t="inlineStr">
        <is>
          <t>21,774.91 EUR</t>
        </is>
      </c>
    </row>
    <row r="19">
      <c r="A19" s="6" t="inlineStr">
        <is>
          <t>Recommended Copula Tail DSRA (CVaR 99%)</t>
        </is>
      </c>
      <c r="B19" s="5" t="inlineStr">
        <is>
          <t>47,596.85 EUR</t>
        </is>
      </c>
    </row>
    <row r="20">
      <c r="A20" s="6" t="inlineStr">
        <is>
          <t>Unhedged Deficit under 6-Month DSRA</t>
        </is>
      </c>
      <c r="B20" s="5" t="inlineStr">
        <is>
          <t>25,821.94 EUR</t>
        </is>
      </c>
    </row>
    <row r="21">
      <c r="A21" s="6" t="inlineStr">
        <is>
          <t>Credit Committee Recommendation</t>
        </is>
      </c>
      <c r="B21" s="5" t="inlineStr">
        <is>
          <t>CONDITIONAL APPROVAL (Escrow DSRA + LEADER Grant Pledge)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43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7" customWidth="1" min="2" max="2"/>
    <col width="40" customWidth="1" min="3" max="3"/>
    <col width="16" customWidth="1" min="4" max="4"/>
    <col width="42" customWidth="1" min="5" max="5"/>
    <col width="22" customWidth="1" min="6" max="6"/>
    <col width="17" customWidth="1" min="7" max="7"/>
    <col width="19" customWidth="1" min="8" max="8"/>
    <col width="22" customWidth="1" min="9" max="9"/>
    <col width="20" customWidth="1" min="10" max="10"/>
    <col width="25" customWidth="1" min="11" max="11"/>
    <col width="21" customWidth="1" min="12" max="12"/>
    <col width="26" customWidth="1" min="13" max="13"/>
    <col width="24" customWidth="1" min="14" max="14"/>
  </cols>
  <sheetData>
    <row r="1">
      <c r="A1" s="1" t="inlineStr">
        <is>
          <t>UNIT ECONOMICS, CONTRIBUTION MARGIN &amp; 24-MONTH MONTHLY CASH RUNWAY</t>
        </is>
      </c>
    </row>
    <row r="2"/>
    <row r="3">
      <c r="A3" s="3" t="inlineStr">
        <is>
          <t>1. UNIT ECONOMICS &amp; CONTRIBUTION MARGIN (USALI STANDARDS)</t>
        </is>
      </c>
      <c r="E3" s="3" t="inlineStr">
        <is>
          <t>2. RevPAR &amp; TRevPAR PERFORMANCE SCHEDULE (YEARS 1 TO 3)</t>
        </is>
      </c>
    </row>
    <row r="4">
      <c r="A4" s="34" t="inlineStr">
        <is>
          <t>Metric / Cost Category</t>
        </is>
      </c>
      <c r="B4" s="34" t="inlineStr">
        <is>
          <t>Value</t>
        </is>
      </c>
      <c r="C4" s="34" t="inlineStr">
        <is>
          <t>Operational / Statutory Basis</t>
        </is>
      </c>
      <c r="E4" s="34" t="inlineStr">
        <is>
          <t>Year</t>
        </is>
      </c>
      <c r="F4" s="34" t="inlineStr">
        <is>
          <t>Stage</t>
        </is>
      </c>
      <c r="G4" s="34" t="inlineStr">
        <is>
          <t>Occupancy Rate</t>
        </is>
      </c>
      <c r="H4" s="34" t="inlineStr">
        <is>
          <t>Occupied Days</t>
        </is>
      </c>
      <c r="I4" s="34" t="inlineStr">
        <is>
          <t>Lodging Revenue (€)</t>
        </is>
      </c>
      <c r="J4" s="34" t="inlineStr">
        <is>
          <t>Total Revenue (€)</t>
        </is>
      </c>
      <c r="K4" s="34" t="inlineStr">
        <is>
          <t>Revpar (€)</t>
        </is>
      </c>
      <c r="L4" s="34" t="inlineStr">
        <is>
          <t>Trevpar (€)</t>
        </is>
      </c>
      <c r="M4" s="34" t="inlineStr">
        <is>
          <t>Contribution Margin (€)</t>
        </is>
      </c>
      <c r="N4" s="34" t="inlineStr">
        <is>
          <t>Fixed Burden Coverage</t>
        </is>
      </c>
    </row>
    <row r="5">
      <c r="A5" s="6" t="inlineStr">
        <is>
          <t>Daily Gross Revenue @ 100% Occ</t>
        </is>
      </c>
      <c r="B5" s="5" t="inlineStr">
        <is>
          <t>1,500.00 EUR</t>
        </is>
      </c>
      <c r="C5" s="6" t="inlineStr">
        <is>
          <t>8 keys: Lodging 975 EUR + F&amp;B 525 EUR</t>
        </is>
      </c>
      <c r="E5" s="6" t="n">
        <v>1</v>
      </c>
      <c r="F5" s="6" t="inlineStr">
        <is>
          <t>Year 1 (Ramp-up)</t>
        </is>
      </c>
      <c r="G5" s="6" t="inlineStr">
        <is>
          <t>28.23%</t>
        </is>
      </c>
      <c r="H5" s="6" t="n">
        <v>103</v>
      </c>
      <c r="I5" s="6" t="n">
        <v>100456.2</v>
      </c>
      <c r="J5" s="6" t="n">
        <v>154548</v>
      </c>
      <c r="K5" s="6" t="n">
        <v>34.4</v>
      </c>
      <c r="L5" s="6" t="n">
        <v>52.93</v>
      </c>
      <c r="M5" s="6" t="n">
        <v>125673.28</v>
      </c>
      <c r="N5" s="6" t="inlineStr">
        <is>
          <t>1.09x</t>
        </is>
      </c>
    </row>
    <row r="6">
      <c r="A6" s="6" t="inlineStr">
        <is>
          <t>Variable Costs per Occupied Day</t>
        </is>
      </c>
      <c r="B6" s="5" t="inlineStr">
        <is>
          <t>280.25 EUR</t>
        </is>
      </c>
      <c r="C6" s="6" t="inlineStr">
        <is>
          <t>18.7% variable cost ratio</t>
        </is>
      </c>
      <c r="E6" s="6" t="n">
        <v>2</v>
      </c>
      <c r="F6" s="6" t="inlineStr">
        <is>
          <t>Year 2 (Stabilized)</t>
        </is>
      </c>
      <c r="G6" s="6" t="inlineStr">
        <is>
          <t>31.36%</t>
        </is>
      </c>
      <c r="H6" s="6" t="n">
        <v>114.5</v>
      </c>
      <c r="I6" s="6" t="n">
        <v>111618</v>
      </c>
      <c r="J6" s="6" t="n">
        <v>171720</v>
      </c>
      <c r="K6" s="6" t="n">
        <v>38.23</v>
      </c>
      <c r="L6" s="6" t="n">
        <v>58.81</v>
      </c>
      <c r="M6" s="6" t="n">
        <v>139636.98</v>
      </c>
      <c r="N6" s="6" t="inlineStr">
        <is>
          <t>1.21x</t>
        </is>
      </c>
    </row>
    <row r="7">
      <c r="A7" s="6" t="inlineStr">
        <is>
          <t xml:space="preserve">  - F&amp;B COGS (30% spend)</t>
        </is>
      </c>
      <c r="B7" s="5" t="inlineStr">
        <is>
          <t>157.50 EUR</t>
        </is>
      </c>
      <c r="C7" s="6" t="inlineStr">
        <is>
          <t>30% of daily F&amp;B turnover</t>
        </is>
      </c>
      <c r="E7" s="6" t="n">
        <v>3</v>
      </c>
      <c r="F7" s="6" t="inlineStr">
        <is>
          <t>Year 3 (Mature)</t>
        </is>
      </c>
      <c r="G7" s="6" t="inlineStr">
        <is>
          <t>32.93%</t>
        </is>
      </c>
      <c r="H7" s="6" t="n">
        <v>120.2</v>
      </c>
      <c r="I7" s="6" t="n">
        <v>117198.9</v>
      </c>
      <c r="J7" s="6" t="n">
        <v>180306</v>
      </c>
      <c r="K7" s="6" t="n">
        <v>40.14</v>
      </c>
      <c r="L7" s="6" t="n">
        <v>61.75</v>
      </c>
      <c r="M7" s="6" t="n">
        <v>146618.83</v>
      </c>
      <c r="N7" s="6" t="inlineStr">
        <is>
          <t>1.27x</t>
        </is>
      </c>
    </row>
    <row r="8">
      <c r="A8" s="6" t="inlineStr">
        <is>
          <t xml:space="preserve">  - OTA Commissions (60% OTA @ 15%)</t>
        </is>
      </c>
      <c r="B8" s="5" t="inlineStr">
        <is>
          <t>87.75 EUR</t>
        </is>
      </c>
      <c r="C8" s="6" t="inlineStr">
        <is>
          <t>15% on 60% OTA booking mix</t>
        </is>
      </c>
    </row>
    <row r="9">
      <c r="A9" s="6" t="inlineStr">
        <is>
          <t xml:space="preserve">  - Amenities &amp; Guest Supplies</t>
        </is>
      </c>
      <c r="B9" s="5" t="inlineStr">
        <is>
          <t>35.00 EUR</t>
        </is>
      </c>
      <c r="C9" s="6" t="inlineStr">
        <is>
          <t>Direct consumables per occupied day</t>
        </is>
      </c>
    </row>
    <row r="10">
      <c r="A10" s="6" t="inlineStr">
        <is>
          <t>Unit Contribution Margin (Day)</t>
        </is>
      </c>
      <c r="B10" s="5" t="inlineStr">
        <is>
          <t>1,219.75 EUR</t>
        </is>
      </c>
      <c r="C10" s="6" t="inlineStr">
        <is>
          <t>81.32% contribution margin</t>
        </is>
      </c>
    </row>
    <row r="11">
      <c r="A11" s="6" t="inlineStr">
        <is>
          <t>Room-Night Unit Margin</t>
        </is>
      </c>
      <c r="B11" s="5" t="inlineStr">
        <is>
          <t>107.97 EUR</t>
        </is>
      </c>
      <c r="C11" s="6" t="inlineStr">
        <is>
          <t>79.98% per room-night</t>
        </is>
      </c>
    </row>
    <row r="12">
      <c r="A12" s="6" t="inlineStr">
        <is>
          <t>Annual Fixed Overhead (Payroll + OPEX)</t>
        </is>
      </c>
      <c r="B12" s="5" t="inlineStr">
        <is>
          <t>72,234.00 EUR</t>
        </is>
      </c>
      <c r="C12" s="6" t="inlineStr">
        <is>
          <t>Base operational fixed costs</t>
        </is>
      </c>
    </row>
    <row r="13">
      <c r="A13" s="6" t="inlineStr">
        <is>
          <t>Annual Senior Debt Service</t>
        </is>
      </c>
      <c r="B13" s="5" t="inlineStr">
        <is>
          <t>43,536.35 EUR</t>
        </is>
      </c>
      <c r="C13" s="6" t="inlineStr">
        <is>
          <t>15Y French amortization @ 3.5%</t>
        </is>
      </c>
    </row>
    <row r="14">
      <c r="A14" s="6" t="inlineStr">
        <is>
          <t>Annual Total Fixed Burden</t>
        </is>
      </c>
      <c r="B14" s="5" t="inlineStr">
        <is>
          <t>115,770.35 EUR</t>
        </is>
      </c>
      <c r="C14" s="6" t="inlineStr">
        <is>
          <t>Overhead + full debt service</t>
        </is>
      </c>
    </row>
    <row r="15">
      <c r="A15" s="6" t="inlineStr">
        <is>
          <t>Operating Break-Even Occupied Days</t>
        </is>
      </c>
      <c r="B15" s="5" t="inlineStr">
        <is>
          <t>59.2 Days</t>
        </is>
      </c>
      <c r="C15" s="6" t="inlineStr">
        <is>
          <t>16.2% annual occupancy</t>
        </is>
      </c>
    </row>
    <row r="16">
      <c r="A16" s="6" t="inlineStr">
        <is>
          <t>Cash Debt Break-Even Occupied Days</t>
        </is>
      </c>
      <c r="B16" s="5" t="inlineStr">
        <is>
          <t>94.9 Days</t>
        </is>
      </c>
      <c r="C16" s="6" t="inlineStr">
        <is>
          <t>26.0% annual occupancy</t>
        </is>
      </c>
    </row>
    <row r="17">
      <c r="A17" s="6" t="inlineStr">
        <is>
          <t>Bank Covenant 1.25x Break-Even Days</t>
        </is>
      </c>
      <c r="B17" s="5" t="inlineStr">
        <is>
          <t>103.8 Days</t>
        </is>
      </c>
      <c r="C17" s="6" t="inlineStr">
        <is>
          <t>28.4% annual occupancy</t>
        </is>
      </c>
    </row>
    <row r="18">
      <c r="A18" s="3" t="inlineStr">
        <is>
          <t>3. 24-MONTH EMPIRICAL CASH RUNWAY &amp; CASH TROUGH SCHEDULE (SEGOVIA EMPIRICAL WEIGHTS)</t>
        </is>
      </c>
    </row>
    <row r="19">
      <c r="A19" s="34" t="inlineStr">
        <is>
          <t>Month</t>
        </is>
      </c>
      <c r="B19" s="34" t="inlineStr">
        <is>
          <t>Period</t>
        </is>
      </c>
      <c r="C19" s="34" t="inlineStr">
        <is>
          <t>Occupancy (%)</t>
        </is>
      </c>
      <c r="D19" s="34" t="inlineStr">
        <is>
          <t>Revenue (EUR)</t>
        </is>
      </c>
      <c r="E19" s="34" t="inlineStr">
        <is>
          <t>Var Costs (EUR)</t>
        </is>
      </c>
      <c r="F19" s="34" t="inlineStr">
        <is>
          <t>Contr Margin (EUR)</t>
        </is>
      </c>
      <c r="G19" s="34" t="inlineStr">
        <is>
          <t>Payroll (EUR)</t>
        </is>
      </c>
      <c r="H19" s="34" t="inlineStr">
        <is>
          <t>Fixed OPEX (EUR)</t>
        </is>
      </c>
      <c r="I19" s="34" t="inlineStr">
        <is>
          <t>Debt Svc (EUR)</t>
        </is>
      </c>
      <c r="J19" s="34" t="inlineStr">
        <is>
          <t>Net Op CF (EUR)</t>
        </is>
      </c>
      <c r="K19" s="34" t="inlineStr">
        <is>
          <t>Grant/VAT Inflow (EUR)</t>
        </is>
      </c>
      <c r="L19" s="34" t="inlineStr">
        <is>
          <t>Credit Drawn (EUR)</t>
        </is>
      </c>
      <c r="M19" s="34" t="inlineStr">
        <is>
          <t>Ending Cash (EUR)</t>
        </is>
      </c>
      <c r="N19" s="34" t="inlineStr">
        <is>
          <t>Total Liquidity (EUR)</t>
        </is>
      </c>
    </row>
    <row r="20">
      <c r="A20" s="6" t="n">
        <v>1</v>
      </c>
      <c r="B20" s="6" t="inlineStr">
        <is>
          <t>Enero</t>
        </is>
      </c>
      <c r="C20" s="6" t="n">
        <v>13.5</v>
      </c>
      <c r="D20" s="6" t="n">
        <v>5649.75</v>
      </c>
      <c r="E20" s="6" t="n">
        <v>1070.21</v>
      </c>
      <c r="F20" s="6" t="n">
        <v>4579.54</v>
      </c>
      <c r="G20" s="6" t="n">
        <v>5006.25</v>
      </c>
      <c r="H20" s="6" t="n">
        <v>1013.25</v>
      </c>
      <c r="I20" s="6" t="n">
        <v>3628.03</v>
      </c>
      <c r="J20" s="6" t="n">
        <v>-5067.99</v>
      </c>
      <c r="K20" s="6" t="n">
        <v>0</v>
      </c>
      <c r="L20" s="6" t="n">
        <v>50000</v>
      </c>
      <c r="M20" s="6" t="n">
        <v>-11046.43</v>
      </c>
      <c r="N20" s="6" t="n">
        <v>-11046.43</v>
      </c>
    </row>
    <row r="21">
      <c r="A21" s="6" t="n">
        <v>2</v>
      </c>
      <c r="B21" s="6" t="inlineStr">
        <is>
          <t>Febrero</t>
        </is>
      </c>
      <c r="C21" s="6" t="n">
        <v>15.3</v>
      </c>
      <c r="D21" s="6" t="n">
        <v>5783.4</v>
      </c>
      <c r="E21" s="6" t="n">
        <v>1095.53</v>
      </c>
      <c r="F21" s="6" t="n">
        <v>4687.87</v>
      </c>
      <c r="G21" s="6" t="n">
        <v>5006.25</v>
      </c>
      <c r="H21" s="6" t="n">
        <v>1013.25</v>
      </c>
      <c r="I21" s="6" t="n">
        <v>3628.03</v>
      </c>
      <c r="J21" s="6" t="n">
        <v>-4959.65</v>
      </c>
      <c r="K21" s="6" t="n">
        <v>0</v>
      </c>
      <c r="L21" s="6" t="n">
        <v>50000</v>
      </c>
      <c r="M21" s="6" t="n">
        <v>-16006.08</v>
      </c>
      <c r="N21" s="6" t="n">
        <v>-16006.08</v>
      </c>
    </row>
    <row r="22">
      <c r="A22" s="35" t="n">
        <v>3</v>
      </c>
      <c r="B22" s="35" t="inlineStr">
        <is>
          <t>Marzo</t>
        </is>
      </c>
      <c r="C22" s="35" t="n">
        <v>21.6</v>
      </c>
      <c r="D22" s="35" t="n">
        <v>9541.799999999999</v>
      </c>
      <c r="E22" s="35" t="n">
        <v>1794.44</v>
      </c>
      <c r="F22" s="35" t="n">
        <v>7747.36</v>
      </c>
      <c r="G22" s="35" t="n">
        <v>5006.25</v>
      </c>
      <c r="H22" s="35" t="n">
        <v>1013.25</v>
      </c>
      <c r="I22" s="35" t="n">
        <v>3628.03</v>
      </c>
      <c r="J22" s="35" t="n">
        <v>-1900.17</v>
      </c>
      <c r="K22" s="35" t="n">
        <v>0</v>
      </c>
      <c r="L22" s="35" t="n">
        <v>50000</v>
      </c>
      <c r="M22" s="35" t="n">
        <v>-17906.26</v>
      </c>
      <c r="N22" s="35" t="n">
        <v>-17906.26</v>
      </c>
    </row>
    <row r="23">
      <c r="A23" s="6" t="n">
        <v>4</v>
      </c>
      <c r="B23" s="6" t="inlineStr">
        <is>
          <t>Abril</t>
        </is>
      </c>
      <c r="C23" s="6" t="n">
        <v>27.9</v>
      </c>
      <c r="D23" s="6" t="n">
        <v>13182.75</v>
      </c>
      <c r="E23" s="6" t="n">
        <v>2448.33</v>
      </c>
      <c r="F23" s="6" t="n">
        <v>10734.42</v>
      </c>
      <c r="G23" s="6" t="n">
        <v>5006.25</v>
      </c>
      <c r="H23" s="6" t="n">
        <v>1013.25</v>
      </c>
      <c r="I23" s="6" t="n">
        <v>3628.03</v>
      </c>
      <c r="J23" s="6" t="n">
        <v>1086.89</v>
      </c>
      <c r="K23" s="6" t="n">
        <v>0</v>
      </c>
      <c r="L23" s="6" t="n">
        <v>50000</v>
      </c>
      <c r="M23" s="6" t="n">
        <v>-16819.36</v>
      </c>
      <c r="N23" s="6" t="n">
        <v>-16819.36</v>
      </c>
    </row>
    <row r="24">
      <c r="A24" s="6" t="n">
        <v>5</v>
      </c>
      <c r="B24" s="6" t="inlineStr">
        <is>
          <t>Mayo</t>
        </is>
      </c>
      <c r="C24" s="6" t="n">
        <v>29.7</v>
      </c>
      <c r="D24" s="6" t="n">
        <v>13810.5</v>
      </c>
      <c r="E24" s="6" t="n">
        <v>2580.26</v>
      </c>
      <c r="F24" s="6" t="n">
        <v>11230.24</v>
      </c>
      <c r="G24" s="6" t="n">
        <v>5006.25</v>
      </c>
      <c r="H24" s="6" t="n">
        <v>1013.25</v>
      </c>
      <c r="I24" s="6" t="n">
        <v>3628.03</v>
      </c>
      <c r="J24" s="6" t="n">
        <v>1582.71</v>
      </c>
      <c r="K24" s="6" t="n">
        <v>0</v>
      </c>
      <c r="L24" s="6" t="n">
        <v>50000</v>
      </c>
      <c r="M24" s="6" t="n">
        <v>-15236.66</v>
      </c>
      <c r="N24" s="6" t="n">
        <v>-15236.66</v>
      </c>
    </row>
    <row r="25">
      <c r="A25" s="6" t="n">
        <v>6</v>
      </c>
      <c r="B25" s="6" t="inlineStr">
        <is>
          <t>Junio</t>
        </is>
      </c>
      <c r="C25" s="6" t="n">
        <v>33.3</v>
      </c>
      <c r="D25" s="6" t="n">
        <v>15734.25</v>
      </c>
      <c r="E25" s="6" t="n">
        <v>2922.2</v>
      </c>
      <c r="F25" s="6" t="n">
        <v>12812.05</v>
      </c>
      <c r="G25" s="6" t="n">
        <v>5006.25</v>
      </c>
      <c r="H25" s="6" t="n">
        <v>1013.25</v>
      </c>
      <c r="I25" s="6" t="n">
        <v>3628.03</v>
      </c>
      <c r="J25" s="6" t="n">
        <v>3164.52</v>
      </c>
      <c r="K25" s="6" t="n">
        <v>0</v>
      </c>
      <c r="L25" s="6" t="n">
        <v>50000</v>
      </c>
      <c r="M25" s="6" t="n">
        <v>-12072.13</v>
      </c>
      <c r="N25" s="6" t="n">
        <v>-12072.13</v>
      </c>
    </row>
    <row r="26">
      <c r="A26" s="6" t="n">
        <v>7</v>
      </c>
      <c r="B26" s="6" t="inlineStr">
        <is>
          <t>Julio</t>
        </is>
      </c>
      <c r="C26" s="6" t="n">
        <v>43.2</v>
      </c>
      <c r="D26" s="6" t="n">
        <v>23101.2</v>
      </c>
      <c r="E26" s="6" t="n">
        <v>4245.77</v>
      </c>
      <c r="F26" s="6" t="n">
        <v>18855.43</v>
      </c>
      <c r="G26" s="6" t="n">
        <v>5006.25</v>
      </c>
      <c r="H26" s="6" t="n">
        <v>1013.25</v>
      </c>
      <c r="I26" s="6" t="n">
        <v>3628.03</v>
      </c>
      <c r="J26" s="6" t="n">
        <v>9207.9</v>
      </c>
      <c r="K26" s="6" t="n">
        <v>0</v>
      </c>
      <c r="L26" s="6" t="n">
        <v>50000</v>
      </c>
      <c r="M26" s="6" t="n">
        <v>-2864.23</v>
      </c>
      <c r="N26" s="6" t="n">
        <v>-2864.23</v>
      </c>
    </row>
    <row r="27">
      <c r="A27" s="6" t="n">
        <v>8</v>
      </c>
      <c r="B27" s="6" t="inlineStr">
        <is>
          <t>Agosto</t>
        </is>
      </c>
      <c r="C27" s="6" t="n">
        <v>48.6</v>
      </c>
      <c r="D27" s="6" t="n">
        <v>27118.8</v>
      </c>
      <c r="E27" s="6" t="n">
        <v>4961.23</v>
      </c>
      <c r="F27" s="6" t="n">
        <v>22157.57</v>
      </c>
      <c r="G27" s="6" t="n">
        <v>5006.25</v>
      </c>
      <c r="H27" s="6" t="n">
        <v>1013.25</v>
      </c>
      <c r="I27" s="6" t="n">
        <v>3628.03</v>
      </c>
      <c r="J27" s="6" t="n">
        <v>12510.04</v>
      </c>
      <c r="K27" s="6" t="n">
        <v>0</v>
      </c>
      <c r="L27" s="6" t="n">
        <v>50000</v>
      </c>
      <c r="M27" s="6" t="n">
        <v>9645.809999999999</v>
      </c>
      <c r="N27" s="6" t="n">
        <v>9645.809999999999</v>
      </c>
    </row>
    <row r="28">
      <c r="A28" s="6" t="n">
        <v>9</v>
      </c>
      <c r="B28" s="6" t="inlineStr">
        <is>
          <t>Septiembre</t>
        </is>
      </c>
      <c r="C28" s="6" t="n">
        <v>32.4</v>
      </c>
      <c r="D28" s="6" t="n">
        <v>15309</v>
      </c>
      <c r="E28" s="6" t="n">
        <v>2843.22</v>
      </c>
      <c r="F28" s="6" t="n">
        <v>12465.78</v>
      </c>
      <c r="G28" s="6" t="n">
        <v>5006.25</v>
      </c>
      <c r="H28" s="6" t="n">
        <v>1013.25</v>
      </c>
      <c r="I28" s="6" t="n">
        <v>3628.03</v>
      </c>
      <c r="J28" s="6" t="n">
        <v>2818.25</v>
      </c>
      <c r="K28" s="6" t="n">
        <v>0</v>
      </c>
      <c r="L28" s="6" t="n">
        <v>50000</v>
      </c>
      <c r="M28" s="6" t="n">
        <v>12464.06</v>
      </c>
      <c r="N28" s="6" t="n">
        <v>12464.06</v>
      </c>
    </row>
    <row r="29">
      <c r="A29" s="6" t="n">
        <v>10</v>
      </c>
      <c r="B29" s="6" t="inlineStr">
        <is>
          <t>Octubre</t>
        </is>
      </c>
      <c r="C29" s="6" t="n">
        <v>27</v>
      </c>
      <c r="D29" s="6" t="n">
        <v>12555</v>
      </c>
      <c r="E29" s="6" t="n">
        <v>2345.69</v>
      </c>
      <c r="F29" s="6" t="n">
        <v>10209.31</v>
      </c>
      <c r="G29" s="6" t="n">
        <v>5006.25</v>
      </c>
      <c r="H29" s="6" t="n">
        <v>1013.25</v>
      </c>
      <c r="I29" s="6" t="n">
        <v>3628.03</v>
      </c>
      <c r="J29" s="6" t="n">
        <v>561.78</v>
      </c>
      <c r="K29" s="6" t="n">
        <v>0</v>
      </c>
      <c r="L29" s="6" t="n">
        <v>50000</v>
      </c>
      <c r="M29" s="6" t="n">
        <v>13025.84</v>
      </c>
      <c r="N29" s="6" t="n">
        <v>13025.84</v>
      </c>
    </row>
    <row r="30">
      <c r="A30" s="6" t="n">
        <v>11</v>
      </c>
      <c r="B30" s="6" t="inlineStr">
        <is>
          <t>Noviembre</t>
        </is>
      </c>
      <c r="C30" s="6" t="n">
        <v>19.8</v>
      </c>
      <c r="D30" s="6" t="n">
        <v>8464.5</v>
      </c>
      <c r="E30" s="6" t="n">
        <v>1591.85</v>
      </c>
      <c r="F30" s="6" t="n">
        <v>6872.65</v>
      </c>
      <c r="G30" s="6" t="n">
        <v>5006.25</v>
      </c>
      <c r="H30" s="6" t="n">
        <v>1013.25</v>
      </c>
      <c r="I30" s="6" t="n">
        <v>3628.03</v>
      </c>
      <c r="J30" s="6" t="n">
        <v>-2774.87</v>
      </c>
      <c r="K30" s="6" t="n">
        <v>0</v>
      </c>
      <c r="L30" s="6" t="n">
        <v>50000</v>
      </c>
      <c r="M30" s="6" t="n">
        <v>10250.96</v>
      </c>
      <c r="N30" s="6" t="n">
        <v>10250.96</v>
      </c>
    </row>
    <row r="31">
      <c r="A31" s="6" t="n">
        <v>12</v>
      </c>
      <c r="B31" s="6" t="inlineStr">
        <is>
          <t>Diciembre</t>
        </is>
      </c>
      <c r="C31" s="6" t="n">
        <v>25.2</v>
      </c>
      <c r="D31" s="6" t="n">
        <v>12889.8</v>
      </c>
      <c r="E31" s="6" t="n">
        <v>2380.9</v>
      </c>
      <c r="F31" s="6" t="n">
        <v>10508.9</v>
      </c>
      <c r="G31" s="6" t="n">
        <v>5006.25</v>
      </c>
      <c r="H31" s="6" t="n">
        <v>1013.25</v>
      </c>
      <c r="I31" s="6" t="n">
        <v>3628.03</v>
      </c>
      <c r="J31" s="6" t="n">
        <v>861.37</v>
      </c>
      <c r="K31" s="6" t="n">
        <v>0</v>
      </c>
      <c r="L31" s="6" t="n">
        <v>50000</v>
      </c>
      <c r="M31" s="6" t="n">
        <v>11112.33</v>
      </c>
      <c r="N31" s="6" t="n">
        <v>11112.33</v>
      </c>
    </row>
    <row r="32">
      <c r="A32" s="6" t="n">
        <v>13</v>
      </c>
      <c r="B32" s="6" t="inlineStr">
        <is>
          <t>Enero</t>
        </is>
      </c>
      <c r="C32" s="6" t="n">
        <v>15</v>
      </c>
      <c r="D32" s="6" t="n">
        <v>6277.5</v>
      </c>
      <c r="E32" s="6" t="n">
        <v>1189.12</v>
      </c>
      <c r="F32" s="6" t="n">
        <v>5088.38</v>
      </c>
      <c r="G32" s="6" t="n">
        <v>5006.25</v>
      </c>
      <c r="H32" s="6" t="n">
        <v>1013.25</v>
      </c>
      <c r="I32" s="6" t="n">
        <v>3628.03</v>
      </c>
      <c r="J32" s="6" t="n">
        <v>-4559.15</v>
      </c>
      <c r="K32" s="6" t="n">
        <v>0</v>
      </c>
      <c r="L32" s="6" t="n">
        <v>50000</v>
      </c>
      <c r="M32" s="6" t="n">
        <v>6553.18</v>
      </c>
      <c r="N32" s="6" t="n">
        <v>6553.18</v>
      </c>
    </row>
    <row r="33">
      <c r="A33" s="6" t="n">
        <v>14</v>
      </c>
      <c r="B33" s="6" t="inlineStr">
        <is>
          <t>Febrero</t>
        </is>
      </c>
      <c r="C33" s="6" t="n">
        <v>17</v>
      </c>
      <c r="D33" s="6" t="n">
        <v>6426</v>
      </c>
      <c r="E33" s="6" t="n">
        <v>1217.25</v>
      </c>
      <c r="F33" s="6" t="n">
        <v>5208.75</v>
      </c>
      <c r="G33" s="6" t="n">
        <v>5006.25</v>
      </c>
      <c r="H33" s="6" t="n">
        <v>1013.25</v>
      </c>
      <c r="I33" s="6" t="n">
        <v>3628.03</v>
      </c>
      <c r="J33" s="6" t="n">
        <v>-4438.78</v>
      </c>
      <c r="K33" s="6" t="n">
        <v>163000</v>
      </c>
      <c r="L33" s="6" t="n">
        <v>0</v>
      </c>
      <c r="M33" s="6" t="n">
        <v>115114.4</v>
      </c>
      <c r="N33" s="6" t="n">
        <v>165114.4</v>
      </c>
    </row>
    <row r="34">
      <c r="A34" s="6" t="n">
        <v>15</v>
      </c>
      <c r="B34" s="6" t="inlineStr">
        <is>
          <t>Marzo</t>
        </is>
      </c>
      <c r="C34" s="6" t="n">
        <v>24</v>
      </c>
      <c r="D34" s="6" t="n">
        <v>10602</v>
      </c>
      <c r="E34" s="6" t="n">
        <v>1993.83</v>
      </c>
      <c r="F34" s="6" t="n">
        <v>8608.17</v>
      </c>
      <c r="G34" s="6" t="n">
        <v>5006.25</v>
      </c>
      <c r="H34" s="6" t="n">
        <v>1013.25</v>
      </c>
      <c r="I34" s="6" t="n">
        <v>3628.03</v>
      </c>
      <c r="J34" s="6" t="n">
        <v>-1039.36</v>
      </c>
      <c r="K34" s="6" t="n">
        <v>0</v>
      </c>
      <c r="L34" s="6" t="n">
        <v>0</v>
      </c>
      <c r="M34" s="6" t="n">
        <v>114075.04</v>
      </c>
      <c r="N34" s="6" t="n">
        <v>164075.04</v>
      </c>
    </row>
    <row r="35">
      <c r="A35" s="6" t="n">
        <v>16</v>
      </c>
      <c r="B35" s="6" t="inlineStr">
        <is>
          <t>Abril</t>
        </is>
      </c>
      <c r="C35" s="6" t="n">
        <v>31</v>
      </c>
      <c r="D35" s="6" t="n">
        <v>14647.5</v>
      </c>
      <c r="E35" s="6" t="n">
        <v>2720.37</v>
      </c>
      <c r="F35" s="6" t="n">
        <v>11927.13</v>
      </c>
      <c r="G35" s="6" t="n">
        <v>5006.25</v>
      </c>
      <c r="H35" s="6" t="n">
        <v>1013.25</v>
      </c>
      <c r="I35" s="6" t="n">
        <v>3628.03</v>
      </c>
      <c r="J35" s="6" t="n">
        <v>2279.6</v>
      </c>
      <c r="K35" s="6" t="n">
        <v>0</v>
      </c>
      <c r="L35" s="6" t="n">
        <v>0</v>
      </c>
      <c r="M35" s="6" t="n">
        <v>116354.65</v>
      </c>
      <c r="N35" s="6" t="n">
        <v>166354.65</v>
      </c>
    </row>
    <row r="36">
      <c r="A36" s="6" t="n">
        <v>17</v>
      </c>
      <c r="B36" s="6" t="inlineStr">
        <is>
          <t>Mayo</t>
        </is>
      </c>
      <c r="C36" s="6" t="n">
        <v>33</v>
      </c>
      <c r="D36" s="6" t="n">
        <v>15345</v>
      </c>
      <c r="E36" s="6" t="n">
        <v>2866.96</v>
      </c>
      <c r="F36" s="6" t="n">
        <v>12478.04</v>
      </c>
      <c r="G36" s="6" t="n">
        <v>5006.25</v>
      </c>
      <c r="H36" s="6" t="n">
        <v>1013.25</v>
      </c>
      <c r="I36" s="6" t="n">
        <v>3628.03</v>
      </c>
      <c r="J36" s="6" t="n">
        <v>2830.51</v>
      </c>
      <c r="K36" s="6" t="n">
        <v>0</v>
      </c>
      <c r="L36" s="6" t="n">
        <v>0</v>
      </c>
      <c r="M36" s="6" t="n">
        <v>119185.16</v>
      </c>
      <c r="N36" s="6" t="n">
        <v>169185.16</v>
      </c>
    </row>
    <row r="37">
      <c r="A37" s="6" t="n">
        <v>18</v>
      </c>
      <c r="B37" s="6" t="inlineStr">
        <is>
          <t>Junio</t>
        </is>
      </c>
      <c r="C37" s="6" t="n">
        <v>37</v>
      </c>
      <c r="D37" s="6" t="n">
        <v>17482.5</v>
      </c>
      <c r="E37" s="6" t="n">
        <v>3246.89</v>
      </c>
      <c r="F37" s="6" t="n">
        <v>14235.61</v>
      </c>
      <c r="G37" s="6" t="n">
        <v>5006.25</v>
      </c>
      <c r="H37" s="6" t="n">
        <v>1013.25</v>
      </c>
      <c r="I37" s="6" t="n">
        <v>3628.03</v>
      </c>
      <c r="J37" s="6" t="n">
        <v>4588.08</v>
      </c>
      <c r="K37" s="6" t="n">
        <v>143596.37</v>
      </c>
      <c r="L37" s="6" t="n">
        <v>0</v>
      </c>
      <c r="M37" s="6" t="n">
        <v>123773.25</v>
      </c>
      <c r="N37" s="6" t="n">
        <v>173773.25</v>
      </c>
    </row>
    <row r="38">
      <c r="A38" s="6" t="n">
        <v>19</v>
      </c>
      <c r="B38" s="6" t="inlineStr">
        <is>
          <t>Julio</t>
        </is>
      </c>
      <c r="C38" s="6" t="n">
        <v>48</v>
      </c>
      <c r="D38" s="6" t="n">
        <v>25668</v>
      </c>
      <c r="E38" s="6" t="n">
        <v>4717.52</v>
      </c>
      <c r="F38" s="6" t="n">
        <v>20950.48</v>
      </c>
      <c r="G38" s="6" t="n">
        <v>5006.25</v>
      </c>
      <c r="H38" s="6" t="n">
        <v>1013.25</v>
      </c>
      <c r="I38" s="6" t="n">
        <v>3628.03</v>
      </c>
      <c r="J38" s="6" t="n">
        <v>11302.95</v>
      </c>
      <c r="K38" s="6" t="n">
        <v>0</v>
      </c>
      <c r="L38" s="6" t="n">
        <v>0</v>
      </c>
      <c r="M38" s="6" t="n">
        <v>135076.2</v>
      </c>
      <c r="N38" s="6" t="n">
        <v>185076.2</v>
      </c>
    </row>
    <row r="39">
      <c r="A39" s="6" t="n">
        <v>20</v>
      </c>
      <c r="B39" s="6" t="inlineStr">
        <is>
          <t>Agosto</t>
        </is>
      </c>
      <c r="C39" s="6" t="n">
        <v>54</v>
      </c>
      <c r="D39" s="6" t="n">
        <v>30132</v>
      </c>
      <c r="E39" s="6" t="n">
        <v>5512.48</v>
      </c>
      <c r="F39" s="6" t="n">
        <v>24619.52</v>
      </c>
      <c r="G39" s="6" t="n">
        <v>5006.25</v>
      </c>
      <c r="H39" s="6" t="n">
        <v>1013.25</v>
      </c>
      <c r="I39" s="6" t="n">
        <v>3628.03</v>
      </c>
      <c r="J39" s="6" t="n">
        <v>14971.99</v>
      </c>
      <c r="K39" s="6" t="n">
        <v>0</v>
      </c>
      <c r="L39" s="6" t="n">
        <v>0</v>
      </c>
      <c r="M39" s="6" t="n">
        <v>150048.19</v>
      </c>
      <c r="N39" s="6" t="n">
        <v>200048.19</v>
      </c>
    </row>
    <row r="40">
      <c r="A40" s="6" t="n">
        <v>21</v>
      </c>
      <c r="B40" s="6" t="inlineStr">
        <is>
          <t>Septiembre</t>
        </is>
      </c>
      <c r="C40" s="6" t="n">
        <v>36</v>
      </c>
      <c r="D40" s="6" t="n">
        <v>17010</v>
      </c>
      <c r="E40" s="6" t="n">
        <v>3159.13</v>
      </c>
      <c r="F40" s="6" t="n">
        <v>13850.86</v>
      </c>
      <c r="G40" s="6" t="n">
        <v>5006.25</v>
      </c>
      <c r="H40" s="6" t="n">
        <v>1013.25</v>
      </c>
      <c r="I40" s="6" t="n">
        <v>3628.03</v>
      </c>
      <c r="J40" s="6" t="n">
        <v>4203.34</v>
      </c>
      <c r="K40" s="6" t="n">
        <v>0</v>
      </c>
      <c r="L40" s="6" t="n">
        <v>0</v>
      </c>
      <c r="M40" s="6" t="n">
        <v>154251.52</v>
      </c>
      <c r="N40" s="6" t="n">
        <v>204251.52</v>
      </c>
    </row>
    <row r="41">
      <c r="A41" s="6" t="n">
        <v>22</v>
      </c>
      <c r="B41" s="6" t="inlineStr">
        <is>
          <t>Octubre</t>
        </is>
      </c>
      <c r="C41" s="6" t="n">
        <v>30</v>
      </c>
      <c r="D41" s="6" t="n">
        <v>13950</v>
      </c>
      <c r="E41" s="6" t="n">
        <v>2606.32</v>
      </c>
      <c r="F41" s="6" t="n">
        <v>11343.67</v>
      </c>
      <c r="G41" s="6" t="n">
        <v>5006.25</v>
      </c>
      <c r="H41" s="6" t="n">
        <v>1013.25</v>
      </c>
      <c r="I41" s="6" t="n">
        <v>3628.03</v>
      </c>
      <c r="J41" s="6" t="n">
        <v>1696.15</v>
      </c>
      <c r="K41" s="6" t="n">
        <v>0</v>
      </c>
      <c r="L41" s="6" t="n">
        <v>0</v>
      </c>
      <c r="M41" s="6" t="n">
        <v>155947.67</v>
      </c>
      <c r="N41" s="6" t="n">
        <v>205947.67</v>
      </c>
    </row>
    <row r="42">
      <c r="A42" s="6" t="n">
        <v>23</v>
      </c>
      <c r="B42" s="6" t="inlineStr">
        <is>
          <t>Noviembre</t>
        </is>
      </c>
      <c r="C42" s="6" t="n">
        <v>22</v>
      </c>
      <c r="D42" s="6" t="n">
        <v>9405</v>
      </c>
      <c r="E42" s="6" t="n">
        <v>1768.72</v>
      </c>
      <c r="F42" s="6" t="n">
        <v>7636.28</v>
      </c>
      <c r="G42" s="6" t="n">
        <v>5006.25</v>
      </c>
      <c r="H42" s="6" t="n">
        <v>1013.25</v>
      </c>
      <c r="I42" s="6" t="n">
        <v>3628.03</v>
      </c>
      <c r="J42" s="6" t="n">
        <v>-2011.25</v>
      </c>
      <c r="K42" s="6" t="n">
        <v>0</v>
      </c>
      <c r="L42" s="6" t="n">
        <v>0</v>
      </c>
      <c r="M42" s="6" t="n">
        <v>153936.42</v>
      </c>
      <c r="N42" s="6" t="n">
        <v>203936.42</v>
      </c>
    </row>
    <row r="43">
      <c r="A43" s="6" t="n">
        <v>24</v>
      </c>
      <c r="B43" s="6" t="inlineStr">
        <is>
          <t>Diciembre</t>
        </is>
      </c>
      <c r="C43" s="6" t="n">
        <v>28</v>
      </c>
      <c r="D43" s="6" t="n">
        <v>14322</v>
      </c>
      <c r="E43" s="6" t="n">
        <v>2645.45</v>
      </c>
      <c r="F43" s="6" t="n">
        <v>11676.55</v>
      </c>
      <c r="G43" s="6" t="n">
        <v>5006.25</v>
      </c>
      <c r="H43" s="6" t="n">
        <v>1013.25</v>
      </c>
      <c r="I43" s="6" t="n">
        <v>3628.03</v>
      </c>
      <c r="J43" s="6" t="n">
        <v>2029.02</v>
      </c>
      <c r="K43" s="6" t="n">
        <v>0</v>
      </c>
      <c r="L43" s="6" t="n">
        <v>0</v>
      </c>
      <c r="M43" s="6" t="n">
        <v>155965.45</v>
      </c>
      <c r="N43" s="6" t="n">
        <v>205965.45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42" customWidth="1" min="3" max="3"/>
    <col width="16" customWidth="1" min="4" max="4"/>
    <col width="42" customWidth="1" min="5" max="5"/>
    <col width="21" customWidth="1" min="6" max="6"/>
    <col width="42" customWidth="1" min="7" max="7"/>
    <col width="13" customWidth="1" min="8" max="8"/>
    <col width="16" customWidth="1" min="9" max="9"/>
    <col width="19" customWidth="1" min="10" max="10"/>
    <col width="23" customWidth="1" min="11" max="11"/>
    <col width="23" customWidth="1" min="12" max="12"/>
  </cols>
  <sheetData>
    <row r="1">
      <c r="A1" s="1" t="inlineStr">
        <is>
          <t>PHASE II EXPANSION: LANDSCAPE HOTEL SUITES &amp; BIOLOGICAL RESERVOIR (VALUE-ADD)</t>
        </is>
      </c>
    </row>
    <row r="2"/>
    <row r="3">
      <c r="A3" s="3" t="inlineStr">
        <is>
          <t>1. PHASE II ALL-IN CAPEX &amp; EXECUTION BUDGET (110 M² SUITES + 200 M² POND)</t>
        </is>
      </c>
      <c r="E3" s="3" t="inlineStr">
        <is>
          <t>2. INVESTMENT RETURNS &amp; CAPITAL ALLOCATION METRICS</t>
        </is>
      </c>
    </row>
    <row r="4">
      <c r="A4" s="34" t="inlineStr">
        <is>
          <t>CapEx Investment Chapter</t>
        </is>
      </c>
      <c r="B4" s="34" t="inlineStr">
        <is>
          <t>Budget (EUR)</t>
        </is>
      </c>
      <c r="C4" s="34" t="inlineStr">
        <is>
          <t>Technical Benchmark / Repercussion</t>
        </is>
      </c>
      <c r="E4" s="34" t="inlineStr">
        <is>
          <t>Return / Underwriting Parameter</t>
        </is>
      </c>
      <c r="F4" s="34" t="inlineStr">
        <is>
          <t>Metric Value</t>
        </is>
      </c>
      <c r="G4" s="34" t="inlineStr">
        <is>
          <t>Strategic Interpretation</t>
        </is>
      </c>
    </row>
    <row r="5">
      <c r="A5" s="6" t="inlineStr">
        <is>
          <t>Pure Building PEM (Foundations, Stone, Timber, Glazing, HVAC, Bath)</t>
        </is>
      </c>
      <c r="B5" s="5" t="inlineStr">
        <is>
          <t>161,500.00 EUR</t>
        </is>
      </c>
      <c r="C5" s="6" t="inlineStr">
        <is>
          <t>1,468.18 EUR/m² built (110 m²)</t>
        </is>
      </c>
      <c r="E5" s="6" t="inlineStr">
        <is>
          <t>Stabilized Year 3 Gross Revenue</t>
        </is>
      </c>
      <c r="F5" s="5" t="inlineStr">
        <is>
          <t>146,182.50 EUR</t>
        </is>
      </c>
      <c r="G5" s="6" t="inlineStr">
        <is>
          <t>ADR 290 EUR net | 50% Occ (365 nights)</t>
        </is>
      </c>
    </row>
    <row r="6">
      <c r="A6" s="6" t="inlineStr">
        <is>
          <t>Contractor PEC - Pure Building (13% GG + 6% BI)</t>
        </is>
      </c>
      <c r="B6" s="5" t="inlineStr">
        <is>
          <t>192,185.00 EUR</t>
        </is>
      </c>
      <c r="C6" s="6" t="inlineStr">
        <is>
          <t>1,747.14 EUR/m² built</t>
        </is>
      </c>
      <c r="E6" s="6" t="inlineStr">
        <is>
          <t>Stabilized Year 3 Contribution Margin</t>
        </is>
      </c>
      <c r="F6" s="5" t="inlineStr">
        <is>
          <t>114,020.52 EUR</t>
        </is>
      </c>
      <c r="G6" s="6" t="inlineStr">
        <is>
          <t>78.00% contribution margin</t>
        </is>
      </c>
    </row>
    <row r="7">
      <c r="A7" s="6" t="inlineStr">
        <is>
          <t>Estate Utilities &amp; Trenching Across 25 Ha (Water, Power, Bio-Sewage)</t>
        </is>
      </c>
      <c r="B7" s="5" t="inlineStr">
        <is>
          <t>37,485.00 EUR</t>
        </is>
      </c>
      <c r="C7" s="6" t="inlineStr">
        <is>
          <t>37,485.00 EUR PEC</t>
        </is>
      </c>
      <c r="E7" s="6" t="inlineStr">
        <is>
          <t>Stabilized Year 3 Incremental EBITDA</t>
        </is>
      </c>
      <c r="F7" s="5" t="inlineStr">
        <is>
          <t>99,620.52 EUR</t>
        </is>
      </c>
      <c r="G7" s="6" t="inlineStr">
        <is>
          <t>68.15% EBITDA margin</t>
        </is>
      </c>
    </row>
    <row r="8">
      <c r="A8" s="6" t="inlineStr">
        <is>
          <t>5-Star FF&amp;E, High-End Textiles, Porch &amp; Exterior Hot Tub</t>
        </is>
      </c>
      <c r="B8" s="5" t="inlineStr">
        <is>
          <t>41,650.00 EUR</t>
        </is>
      </c>
      <c r="C8" s="6" t="inlineStr">
        <is>
          <t>41,650.00 EUR PEC (2 suites)</t>
        </is>
      </c>
      <c r="E8" s="6" t="inlineStr">
        <is>
          <t>Stabilized Year 3 Free Cash Flow (Post-Tax)</t>
        </is>
      </c>
      <c r="F8" s="5" t="inlineStr">
        <is>
          <t>75,841.41 EUR</t>
        </is>
      </c>
      <c r="G8" s="6" t="inlineStr">
        <is>
          <t>Clean cash flow net of 2% FF&amp;E reserve</t>
        </is>
      </c>
    </row>
    <row r="9">
      <c r="A9" s="6" t="inlineStr">
        <is>
          <t>Biological Pond (200 m² EPDM, Biofilter, Zeolites, Cascade, Flora)</t>
        </is>
      </c>
      <c r="B9" s="5" t="inlineStr">
        <is>
          <t>38,080.00 EUR</t>
        </is>
      </c>
      <c r="C9" s="6" t="inlineStr">
        <is>
          <t>38,080.00 EUR PEC (190.40 EUR/m² water)</t>
        </is>
      </c>
      <c r="E9" s="6" t="inlineStr">
        <is>
          <t>Development Yield on Cost (EBITDA / CapEx)</t>
        </is>
      </c>
      <c r="F9" s="5" t="inlineStr">
        <is>
          <t>27.67%</t>
        </is>
      </c>
      <c r="G9" s="6" t="inlineStr">
        <is>
          <t>Unlevered gross development yield</t>
        </is>
      </c>
    </row>
    <row r="10">
      <c r="A10" s="6" t="inlineStr">
        <is>
          <t>TOTAL CONTRACTOR WORKS PEC (Capítulo 1 al 8)</t>
        </is>
      </c>
      <c r="B10" s="5" t="inlineStr">
        <is>
          <t>309,400.00 EUR</t>
        </is>
      </c>
      <c r="C10" s="6" t="inlineStr">
        <is>
          <t>2,812.73 EUR/m² repercutido</t>
        </is>
      </c>
      <c r="E10" s="6" t="inlineStr">
        <is>
          <t>Return on Invested Capital (ROIC Y3)</t>
        </is>
      </c>
      <c r="F10" s="5" t="inlineStr">
        <is>
          <t>17.38%</t>
        </is>
      </c>
      <c r="G10" s="6" t="inlineStr">
        <is>
          <t>+938 bps spread over 8.0% WACC</t>
        </is>
      </c>
    </row>
    <row r="11">
      <c r="A11" s="6" t="inlineStr">
        <is>
          <t>Architecture, Engineering &amp; Project Management Fees (9.0% PEM)</t>
        </is>
      </c>
      <c r="B11" s="5" t="inlineStr">
        <is>
          <t>23,400.00 EUR</t>
        </is>
      </c>
      <c r="C11" s="6" t="inlineStr">
        <is>
          <t>Complete technical project &amp; permits</t>
        </is>
      </c>
      <c r="E11" s="6" t="inlineStr">
        <is>
          <t>Simple EBITDA Payback Period</t>
        </is>
      </c>
      <c r="F11" s="5" t="inlineStr">
        <is>
          <t>3.99 Years</t>
        </is>
      </c>
      <c r="G11" s="6" t="inlineStr">
        <is>
          <t>47.6 months recovery</t>
        </is>
      </c>
    </row>
    <row r="12">
      <c r="A12" s="6" t="inlineStr">
        <is>
          <t>Municipal Taxes, Urban Fees &amp; ICIO (4.5% PEM)</t>
        </is>
      </c>
      <c r="B12" s="5" t="inlineStr">
        <is>
          <t>11,700.00 EUR</t>
        </is>
      </c>
      <c r="C12" s="6" t="inlineStr">
        <is>
          <t>Segovia rural municipality rate</t>
        </is>
      </c>
      <c r="E12" s="6" t="inlineStr">
        <is>
          <t>Simple Post-Tax FCF Payback Period</t>
        </is>
      </c>
      <c r="F12" s="5" t="inlineStr">
        <is>
          <t>5.07 Years</t>
        </is>
      </c>
      <c r="G12" s="6" t="inlineStr">
        <is>
          <t>61.2 months recovery</t>
        </is>
      </c>
    </row>
    <row r="13">
      <c r="A13" s="6" t="inlineStr">
        <is>
          <t>Contingency Reserve (5.0% PEC)</t>
        </is>
      </c>
      <c r="B13" s="5" t="inlineStr">
        <is>
          <t>15,470.00 EUR</t>
        </is>
      </c>
      <c r="C13" s="6" t="inlineStr">
        <is>
          <t>Granite rock &amp; unforeseen works</t>
        </is>
      </c>
      <c r="E13" s="6" t="inlineStr">
        <is>
          <t>Year 5 Exit Valuation @ 8.5% Cap Rate</t>
        </is>
      </c>
      <c r="F13" s="5" t="inlineStr">
        <is>
          <t>1,219,355.23 EUR</t>
        </is>
      </c>
      <c r="G13" s="6" t="inlineStr">
        <is>
          <t>Net gain: +859,385.23 EUR</t>
        </is>
      </c>
    </row>
    <row r="14">
      <c r="A14" s="6" t="inlineStr">
        <is>
          <t>TOTAL ALL-IN EXPANSION CAPEX (Net of Deductible VAT)</t>
        </is>
      </c>
      <c r="B14" s="5" t="inlineStr">
        <is>
          <t>359,970.00 EUR</t>
        </is>
      </c>
      <c r="C14" s="6" t="inlineStr">
        <is>
          <t>179,985.00 EUR all-in per suite</t>
        </is>
      </c>
      <c r="E14" s="6" t="inlineStr">
        <is>
          <t>5-Year Post-Tax IRR with Exit (8.5% Cap Rate)</t>
        </is>
      </c>
      <c r="F14" s="5" t="inlineStr">
        <is>
          <t>40.29%</t>
        </is>
      </c>
      <c r="G14" s="6" t="inlineStr">
        <is>
          <t>MOIC: 4.37x</t>
        </is>
      </c>
    </row>
    <row r="15">
      <c r="A15" s="6" t="inlineStr">
        <is>
          <t>Financing Structure (Phase-Gated)</t>
        </is>
      </c>
      <c r="B15" s="5" t="inlineStr">
        <is>
          <t>-241,613.75 EUR gap</t>
        </is>
      </c>
      <c r="C15" s="6" t="inlineStr">
        <is>
          <t>Phase I cash &lt; Phase II need; do not double-count LEADER + VAT</t>
        </is>
      </c>
      <c r="E15" s="6" t="inlineStr">
        <is>
          <t>Realistic Scenario EBITDA (45% occ + 1 FTE)</t>
        </is>
      </c>
      <c r="F15" s="5" t="inlineStr">
        <is>
          <t>51,435.20 EUR</t>
        </is>
      </c>
      <c r="G15" s="6" t="inlineStr">
        <is>
          <t>IRR: 19.6%</t>
        </is>
      </c>
    </row>
    <row r="16">
      <c r="E16" s="6" t="inlineStr">
        <is>
          <t>Stress Scenario EBITDA (36.4% occ + 1 FTE)</t>
        </is>
      </c>
      <c r="F16" s="5" t="inlineStr">
        <is>
          <t>25,185.88 EUR</t>
        </is>
      </c>
      <c r="G16" s="6" t="inlineStr">
        <is>
          <t>IRR: 2.1%</t>
        </is>
      </c>
    </row>
    <row r="17">
      <c r="E17" s="6" t="inlineStr">
        <is>
          <t>Phase II Cash Need (net CapEx + VAT)</t>
        </is>
      </c>
      <c r="F17" s="5" t="inlineStr">
        <is>
          <t>435,563.70 EUR</t>
        </is>
      </c>
      <c r="G17" s="6" t="inlineStr">
        <is>
          <t>€359,970 + €75,593.70</t>
        </is>
      </c>
    </row>
    <row r="18">
      <c r="E18" s="6" t="inlineStr">
        <is>
          <t>Phase I Cash at End of Year 2</t>
        </is>
      </c>
      <c r="F18" s="5" t="inlineStr">
        <is>
          <t>193,949.95 EUR</t>
        </is>
      </c>
      <c r="G18" s="6" t="inlineStr">
        <is>
          <t>Available for Phase II</t>
        </is>
      </c>
    </row>
    <row r="19">
      <c r="E19" s="6" t="inlineStr">
        <is>
          <t>Phase II Funding Gap</t>
        </is>
      </c>
      <c r="F19" s="5" t="inlineStr">
        <is>
          <t>-241,613.75 EUR</t>
        </is>
      </c>
      <c r="G19" s="6" t="inlineStr">
        <is>
          <t>Negative = not self-funded; raise additional funding</t>
        </is>
      </c>
    </row>
    <row r="20">
      <c r="E20" s="6" t="inlineStr">
        <is>
          <t>Consolidated Group EBITDA (Phase 1 + 2)</t>
        </is>
      </c>
      <c r="F20" s="5" t="inlineStr">
        <is>
          <t>188,760.39 EUR</t>
        </is>
      </c>
      <c r="G20" s="6" t="inlineStr">
        <is>
          <t>+111.8% vs Phase 1 baseline (if funded)</t>
        </is>
      </c>
    </row>
    <row r="21">
      <c r="E21" s="6" t="inlineStr">
        <is>
          <t>Consolidated Debt Service Coverage (DSCR)</t>
        </is>
      </c>
      <c r="F21" s="5" t="inlineStr">
        <is>
          <t>4.34x</t>
        </is>
      </c>
      <c r="G21" s="6" t="inlineStr">
        <is>
          <t>1.73x to 4.34x (no new senior debt)</t>
        </is>
      </c>
    </row>
    <row r="22"/>
    <row r="23"/>
    <row r="24"/>
    <row r="25">
      <c r="A25" s="3" t="inlineStr">
        <is>
          <t>3. 5-YEAR COMMERCIAL RAMP-UP &amp; CASH FLOW TRAJECTORY SCHEDULE</t>
        </is>
      </c>
    </row>
    <row r="26">
      <c r="A26" s="34" t="inlineStr">
        <is>
          <t>Year</t>
        </is>
      </c>
      <c r="B26" s="34" t="inlineStr">
        <is>
          <t>Occupancy (%)</t>
        </is>
      </c>
      <c r="C26" s="34" t="inlineStr">
        <is>
          <t>Nights Sold</t>
        </is>
      </c>
      <c r="D26" s="34" t="inlineStr">
        <is>
          <t>ADR Net (EUR)</t>
        </is>
      </c>
      <c r="E26" s="34" t="inlineStr">
        <is>
          <t>Revenue (EUR)</t>
        </is>
      </c>
      <c r="F26" s="34" t="inlineStr">
        <is>
          <t>Contr Margin (EUR)</t>
        </is>
      </c>
      <c r="G26" s="34" t="inlineStr">
        <is>
          <t>EBITDA (EUR)</t>
        </is>
      </c>
      <c r="H26" s="34" t="inlineStr">
        <is>
          <t>EBIT (EUR)</t>
        </is>
      </c>
      <c r="I26" s="34" t="inlineStr">
        <is>
          <t>Tax 25% (EUR)</t>
        </is>
      </c>
      <c r="J26" s="34" t="inlineStr">
        <is>
          <t>Net Income (EUR)</t>
        </is>
      </c>
      <c r="K26" s="34" t="inlineStr">
        <is>
          <t>Free Cash Flow (EUR)</t>
        </is>
      </c>
      <c r="L26" s="34" t="inlineStr">
        <is>
          <t>Discounted FCF (EUR)</t>
        </is>
      </c>
    </row>
    <row r="27">
      <c r="A27" s="6" t="n">
        <v>1</v>
      </c>
      <c r="B27" s="6" t="inlineStr">
        <is>
          <t>37.5%</t>
        </is>
      </c>
      <c r="C27" s="6" t="n">
        <v>273.75</v>
      </c>
      <c r="D27" s="6" t="n">
        <v>290</v>
      </c>
      <c r="E27" s="6" t="n">
        <v>109636.88</v>
      </c>
      <c r="F27" s="6" t="n">
        <v>85515.39</v>
      </c>
      <c r="G27" s="6" t="n">
        <v>71115.39</v>
      </c>
      <c r="H27" s="6" t="n">
        <v>54916.74</v>
      </c>
      <c r="I27" s="6" t="n">
        <v>13729.19</v>
      </c>
      <c r="J27" s="6" t="n">
        <v>41187.56</v>
      </c>
      <c r="K27" s="6" t="n">
        <v>55193.47</v>
      </c>
      <c r="L27" s="6" t="n">
        <v>51105.07</v>
      </c>
    </row>
    <row r="28">
      <c r="A28" s="6" t="n">
        <v>2</v>
      </c>
      <c r="B28" s="6" t="inlineStr">
        <is>
          <t>45.0%</t>
        </is>
      </c>
      <c r="C28" s="6" t="n">
        <v>328.5</v>
      </c>
      <c r="D28" s="6" t="n">
        <v>290</v>
      </c>
      <c r="E28" s="6" t="n">
        <v>131564.25</v>
      </c>
      <c r="F28" s="6" t="n">
        <v>102618.47</v>
      </c>
      <c r="G28" s="6" t="n">
        <v>88218.47</v>
      </c>
      <c r="H28" s="6" t="n">
        <v>72019.82000000001</v>
      </c>
      <c r="I28" s="6" t="n">
        <v>18004.96</v>
      </c>
      <c r="J28" s="6" t="n">
        <v>54014.87</v>
      </c>
      <c r="K28" s="6" t="n">
        <v>67582.23</v>
      </c>
      <c r="L28" s="6" t="n">
        <v>57940.87</v>
      </c>
    </row>
    <row r="29">
      <c r="A29" s="6" t="n">
        <v>3</v>
      </c>
      <c r="B29" s="6" t="inlineStr">
        <is>
          <t>50.0%</t>
        </is>
      </c>
      <c r="C29" s="6" t="n">
        <v>365</v>
      </c>
      <c r="D29" s="6" t="n">
        <v>290</v>
      </c>
      <c r="E29" s="6" t="n">
        <v>146182.5</v>
      </c>
      <c r="F29" s="6" t="n">
        <v>114020.52</v>
      </c>
      <c r="G29" s="6" t="n">
        <v>99620.52</v>
      </c>
      <c r="H29" s="6" t="n">
        <v>83421.88</v>
      </c>
      <c r="I29" s="6" t="n">
        <v>20855.47</v>
      </c>
      <c r="J29" s="6" t="n">
        <v>62566.41</v>
      </c>
      <c r="K29" s="6" t="n">
        <v>75841.41</v>
      </c>
      <c r="L29" s="6" t="n">
        <v>60205.35</v>
      </c>
    </row>
    <row r="30">
      <c r="A30" s="6" t="n">
        <v>4</v>
      </c>
      <c r="B30" s="6" t="inlineStr">
        <is>
          <t>50.0%</t>
        </is>
      </c>
      <c r="C30" s="6" t="n">
        <v>365</v>
      </c>
      <c r="D30" s="6" t="n">
        <v>295.8</v>
      </c>
      <c r="E30" s="6" t="n">
        <v>149106.15</v>
      </c>
      <c r="F30" s="6" t="n">
        <v>116300.94</v>
      </c>
      <c r="G30" s="6" t="n">
        <v>101612.94</v>
      </c>
      <c r="H30" s="6" t="n">
        <v>85414.28999999999</v>
      </c>
      <c r="I30" s="6" t="n">
        <v>21353.57</v>
      </c>
      <c r="J30" s="6" t="n">
        <v>64060.71</v>
      </c>
      <c r="K30" s="6" t="n">
        <v>77277.24000000001</v>
      </c>
      <c r="L30" s="6" t="n">
        <v>56801.08</v>
      </c>
    </row>
    <row r="31">
      <c r="A31" s="6" t="n">
        <v>5</v>
      </c>
      <c r="B31" s="6" t="inlineStr">
        <is>
          <t>50.0%</t>
        </is>
      </c>
      <c r="C31" s="6" t="n">
        <v>365</v>
      </c>
      <c r="D31" s="6" t="n">
        <v>301.72</v>
      </c>
      <c r="E31" s="6" t="n">
        <v>152088.27</v>
      </c>
      <c r="F31" s="6" t="n">
        <v>118626.95</v>
      </c>
      <c r="G31" s="6" t="n">
        <v>103645.19</v>
      </c>
      <c r="H31" s="6" t="n">
        <v>87446.53999999999</v>
      </c>
      <c r="I31" s="6" t="n">
        <v>21861.64</v>
      </c>
      <c r="J31" s="6" t="n">
        <v>65584.91</v>
      </c>
      <c r="K31" s="6" t="n">
        <v>78741.78999999999</v>
      </c>
      <c r="L31" s="6" t="n">
        <v>53590.34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Jaime Pérez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Jaime Pérez</cp:lastModifiedBy>
</cp:coreProperties>
</file>