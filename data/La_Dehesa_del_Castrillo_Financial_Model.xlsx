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amp; Checks" sheetId="1" state="visible" r:id="rId1"/>
    <sheet xmlns:r="http://schemas.openxmlformats.org/officeDocument/2006/relationships" name="Inputs" sheetId="2" state="visible" r:id="rId2"/>
    <sheet xmlns:r="http://schemas.openxmlformats.org/officeDocument/2006/relationships" name="Live Model" sheetId="3" state="visible" r:id="rId3"/>
    <sheet xmlns:r="http://schemas.openxmlformats.org/officeDocument/2006/relationships" name="Funding &amp; Audit" sheetId="4" state="visible" r:id="rId4"/>
    <sheet xmlns:r="http://schemas.openxmlformats.org/officeDocument/2006/relationships" name="Executive Scorecard" sheetId="5" state="visible" r:id="rId5"/>
    <sheet xmlns:r="http://schemas.openxmlformats.org/officeDocument/2006/relationships" name="3-Statement Model" sheetId="6" state="visible" r:id="rId6"/>
    <sheet xmlns:r="http://schemas.openxmlformats.org/officeDocument/2006/relationships" name="Debt Schedule" sheetId="7" state="visible" r:id="rId7"/>
    <sheet xmlns:r="http://schemas.openxmlformats.org/officeDocument/2006/relationships" name="Scenario Stress-Testing" sheetId="8" state="visible" r:id="rId8"/>
    <sheet xmlns:r="http://schemas.openxmlformats.org/officeDocument/2006/relationships" name="Monte Carlo Risk" sheetId="9" state="visible" r:id="rId9"/>
    <sheet xmlns:r="http://schemas.openxmlformats.org/officeDocument/2006/relationships" name="Credit Risk &amp; Copula" sheetId="10" state="visible" r:id="rId10"/>
    <sheet xmlns:r="http://schemas.openxmlformats.org/officeDocument/2006/relationships" name="Unit Economics &amp; Runway" sheetId="11" state="visible" r:id="rId11"/>
    <sheet xmlns:r="http://schemas.openxmlformats.org/officeDocument/2006/relationships" name="Phase II Expansion" sheetId="12" state="visible" r:id="rId12"/>
    <sheet xmlns:r="http://schemas.openxmlformats.org/officeDocument/2006/relationships" name="Reform Case" sheetId="13" state="visible" r:id="rId13"/>
    <sheet xmlns:r="http://schemas.openxmlformats.org/officeDocument/2006/relationships" name="Act 1 - Promoter" sheetId="14" state="visible" r:id="rId14"/>
    <sheet xmlns:r="http://schemas.openxmlformats.org/officeDocument/2006/relationships" name="Act 2 - Audit" sheetId="15" state="visible" r:id="rId15"/>
    <sheet xmlns:r="http://schemas.openxmlformats.org/officeDocument/2006/relationships" name="Decline Memo" sheetId="16" state="visible" r:id="rId16"/>
    <sheet xmlns:r="http://schemas.openxmlformats.org/officeDocument/2006/relationships" name="Act 4 - T8" sheetId="17" state="visible" r:id="rId17"/>
    <sheet xmlns:r="http://schemas.openxmlformats.org/officeDocument/2006/relationships" name="Executive Comparison" sheetId="18" state="visible" r:id="rId18"/>
    <sheet xmlns:r="http://schemas.openxmlformats.org/officeDocument/2006/relationships" name="T8 Sensitivities" sheetId="19" state="visible" r:id="rId19"/>
    <sheet xmlns:r="http://schemas.openxmlformats.org/officeDocument/2006/relationships" name="T8 Inputs" sheetId="20" state="visible" r:id="rId20"/>
    <sheet xmlns:r="http://schemas.openxmlformats.org/officeDocument/2006/relationships" name="T8 Debt Schedule" sheetId="21" state="visible" r:id="rId21"/>
    <sheet xmlns:r="http://schemas.openxmlformats.org/officeDocument/2006/relationships" name="T8 Live Model" sheetId="22" state="visible" r:id="rId22"/>
  </sheets>
  <definedNames/>
  <calcPr calcId="124519" fullCalcOnLoad="1"/>
</workbook>
</file>

<file path=xl/styles.xml><?xml version="1.0" encoding="utf-8"?>
<styleSheet xmlns="http://schemas.openxmlformats.org/spreadsheetml/2006/main">
  <numFmts count="6">
    <numFmt numFmtId="164" formatCode="0.00x"/>
    <numFmt numFmtId="165" formatCode="0.0"/>
    <numFmt numFmtId="166" formatCode="0.0x"/>
    <numFmt numFmtId="167" formatCode="0.0%"/>
    <numFmt numFmtId="168" formatCode="0.000000"/>
    <numFmt numFmtId="169" formatCode="#,##0.0"/>
  </numFmts>
  <fonts count="11">
    <font>
      <name val="Calibri"/>
      <family val="2"/>
      <color theme="1"/>
      <sz val="11"/>
      <scheme val="minor"/>
    </font>
    <font>
      <name val="Calibri"/>
      <b val="1"/>
      <color rgb="001E3A8A"/>
      <sz val="14"/>
    </font>
    <font>
      <name val="Calibri"/>
      <i val="1"/>
      <color rgb="0064748B"/>
      <sz val="10"/>
    </font>
    <font>
      <name val="Calibri"/>
      <b val="1"/>
      <color rgb="00FFFFFF"/>
      <sz val="11"/>
    </font>
    <font>
      <name val="Calibri"/>
      <sz val="11"/>
    </font>
    <font>
      <name val="Calibri"/>
      <b val="1"/>
      <sz val="11"/>
    </font>
    <font>
      <name val="Calibri"/>
      <b val="1"/>
      <color rgb="00BE123C"/>
      <sz val="12"/>
    </font>
    <font>
      <name val="Calibri"/>
      <b val="1"/>
      <color rgb="000F766E"/>
      <sz val="12"/>
    </font>
    <font>
      <name val="Calibri"/>
      <b val="1"/>
      <color rgb="00BE123C"/>
      <sz val="11"/>
    </font>
    <font>
      <name val="Calibri"/>
      <b val="1"/>
      <color rgb="001D4ED8"/>
      <sz val="11"/>
    </font>
    <font>
      <name val="Calibri"/>
      <b val="1"/>
      <color rgb="00FFFFFF"/>
      <sz val="20"/>
    </font>
  </fonts>
  <fills count="9">
    <fill>
      <patternFill/>
    </fill>
    <fill>
      <patternFill patternType="gray125"/>
    </fill>
    <fill>
      <patternFill patternType="solid">
        <fgColor rgb="001E3A8A"/>
        <bgColor rgb="001E3A8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
      <patternFill patternType="solid">
        <fgColor rgb="00D1FAE5"/>
        <bgColor rgb="00D1FAE5"/>
      </patternFill>
    </fill>
    <fill>
      <patternFill patternType="solid">
        <fgColor rgb="00DBEAFE"/>
        <bgColor rgb="00DBEAFE"/>
      </patternFill>
    </fill>
    <fill>
      <patternFill patternType="solid">
        <fgColor rgb="00DCFCE7"/>
        <bgColor rgb="00DCFCE7"/>
      </patternFill>
    </fill>
  </fills>
  <borders count="6">
    <border>
      <left/>
      <right/>
      <top/>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3" fillId="2" borderId="1" applyAlignment="1" pivotButton="0" quotePrefix="0" xfId="0">
      <alignment horizontal="center" vertical="center" wrapText="1"/>
    </xf>
    <xf numFmtId="0" fontId="5" fillId="0" borderId="1" pivotButton="0" quotePrefix="0" xfId="0"/>
    <xf numFmtId="0" fontId="4" fillId="0" borderId="1" pivotButton="0" quotePrefix="0" xfId="0"/>
    <xf numFmtId="10" fontId="4" fillId="0" borderId="1" pivotButton="0" quotePrefix="0" xfId="0"/>
    <xf numFmtId="4" fontId="4" fillId="0" borderId="1" pivotButton="0" quotePrefix="0" xfId="0"/>
    <xf numFmtId="2" fontId="4" fillId="0" borderId="1" pivotButton="0" quotePrefix="0" xfId="0"/>
    <xf numFmtId="0" fontId="5" fillId="0" borderId="1" applyAlignment="1" pivotButton="0" quotePrefix="0" xfId="0">
      <alignment horizontal="center"/>
    </xf>
    <xf numFmtId="0" fontId="4" fillId="0" borderId="0" applyAlignment="1" pivotButton="0" quotePrefix="0" xfId="0">
      <alignment vertical="top" wrapText="1"/>
    </xf>
    <xf numFmtId="0" fontId="2" fillId="0" borderId="0" applyAlignment="1" pivotButton="0" quotePrefix="0" xfId="0">
      <alignment vertical="top" wrapText="1"/>
    </xf>
    <xf numFmtId="0" fontId="5" fillId="0" borderId="1" applyAlignment="1" pivotButton="0" quotePrefix="0" xfId="0">
      <alignment vertical="top"/>
    </xf>
    <xf numFmtId="0" fontId="4" fillId="0" borderId="1" applyAlignment="1" pivotButton="0" quotePrefix="0" xfId="0">
      <alignment vertical="top" wrapText="1"/>
    </xf>
    <xf numFmtId="0" fontId="0" fillId="0" borderId="4" pivotButton="0" quotePrefix="0" xfId="0"/>
    <xf numFmtId="0" fontId="0" fillId="0" borderId="5" pivotButton="0" quotePrefix="0" xfId="0"/>
    <xf numFmtId="10" fontId="9" fillId="7" borderId="1" pivotButton="0" quotePrefix="0" xfId="0"/>
    <xf numFmtId="0" fontId="2" fillId="0" borderId="1" pivotButton="0" quotePrefix="0" xfId="0"/>
    <xf numFmtId="3" fontId="9" fillId="7" borderId="1" pivotButton="0" quotePrefix="0" xfId="0"/>
    <xf numFmtId="4" fontId="9" fillId="7" borderId="1" pivotButton="0" quotePrefix="0" xfId="0"/>
    <xf numFmtId="2" fontId="9" fillId="7" borderId="1" pivotButton="0" quotePrefix="0" xfId="0"/>
    <xf numFmtId="0" fontId="5" fillId="0" borderId="0" applyAlignment="1" pivotButton="0" quotePrefix="0" xfId="0">
      <alignment vertical="top"/>
    </xf>
    <xf numFmtId="10" fontId="0" fillId="0" borderId="1" pivotButton="0" quotePrefix="0" xfId="0"/>
    <xf numFmtId="169" fontId="0" fillId="0" borderId="1" pivotButton="0" quotePrefix="0" xfId="0"/>
    <xf numFmtId="4" fontId="0" fillId="0" borderId="1" pivotButton="0" quotePrefix="0" xfId="0"/>
    <xf numFmtId="2" fontId="0" fillId="0" borderId="1" pivotButton="0" quotePrefix="0" xfId="0"/>
    <xf numFmtId="0" fontId="5" fillId="0" borderId="0" applyAlignment="1" pivotButton="0" quotePrefix="0" xfId="0">
      <alignment horizontal="center"/>
    </xf>
    <xf numFmtId="0" fontId="0" fillId="0" borderId="1" pivotButton="0" quotePrefix="0" xfId="0"/>
    <xf numFmtId="4" fontId="5" fillId="0" borderId="1" pivotButton="0" quotePrefix="0" xfId="0"/>
    <xf numFmtId="49" fontId="5" fillId="5" borderId="1" pivotButton="0" quotePrefix="0" xfId="0"/>
    <xf numFmtId="0" fontId="5" fillId="8" borderId="1" applyAlignment="1" pivotButton="0" quotePrefix="0" xfId="0">
      <alignment horizontal="center"/>
    </xf>
    <xf numFmtId="49" fontId="4" fillId="0" borderId="1" pivotButton="0" quotePrefix="0" xfId="0"/>
    <xf numFmtId="0" fontId="5" fillId="5" borderId="1" applyAlignment="1" pivotButton="0" quotePrefix="0" xfId="0">
      <alignment horizontal="center"/>
    </xf>
    <xf numFmtId="0" fontId="5" fillId="4" borderId="1" applyAlignment="1" pivotButton="0" quotePrefix="0" xfId="0">
      <alignment horizontal="center"/>
    </xf>
    <xf numFmtId="0" fontId="5" fillId="4"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right"/>
    </xf>
    <xf numFmtId="0" fontId="4" fillId="3" borderId="1" pivotButton="0" quotePrefix="0" xfId="0"/>
    <xf numFmtId="0" fontId="4" fillId="3" borderId="1" applyAlignment="1" pivotButton="0" quotePrefix="0" xfId="0">
      <alignment horizontal="right"/>
    </xf>
    <xf numFmtId="0" fontId="3" fillId="2" borderId="0" pivotButton="0" quotePrefix="0" xfId="0"/>
    <xf numFmtId="4" fontId="9" fillId="0" borderId="1" pivotButton="0" quotePrefix="0" xfId="0"/>
    <xf numFmtId="10" fontId="9" fillId="0" borderId="1" pivotButton="0" quotePrefix="0" xfId="0"/>
    <xf numFmtId="3" fontId="9" fillId="0" borderId="1" pivotButton="0" quotePrefix="0" xfId="0"/>
    <xf numFmtId="168" fontId="9" fillId="0" borderId="1" pivotButton="0" quotePrefix="0" xfId="0"/>
    <xf numFmtId="3" fontId="4" fillId="0" borderId="1" pivotButton="0" quotePrefix="0" xfId="0"/>
    <xf numFmtId="0" fontId="5" fillId="4" borderId="1" pivotButton="0" quotePrefix="0" xfId="0"/>
    <xf numFmtId="0" fontId="3" fillId="2" borderId="0" applyAlignment="1" pivotButton="0" quotePrefix="0" xfId="0">
      <alignment horizontal="center" vertical="center" wrapText="1"/>
    </xf>
    <xf numFmtId="164" fontId="4" fillId="0" borderId="1" pivotButton="0" quotePrefix="0" xfId="0"/>
    <xf numFmtId="0" fontId="3" fillId="2" borderId="0" applyAlignment="1" pivotButton="0" quotePrefix="0" xfId="0">
      <alignment horizontal="center"/>
    </xf>
    <xf numFmtId="3" fontId="5" fillId="0" borderId="1" pivotButton="0" quotePrefix="0" xfId="0"/>
    <xf numFmtId="0" fontId="3" fillId="2" borderId="0" applyAlignment="1" pivotButton="0" quotePrefix="0" xfId="0">
      <alignment horizontal="center" wrapText="1"/>
    </xf>
    <xf numFmtId="1" fontId="3" fillId="2" borderId="0" pivotButton="0" quotePrefix="0" xfId="0"/>
    <xf numFmtId="3" fontId="4" fillId="5" borderId="1" pivotButton="0" quotePrefix="0" xfId="0"/>
    <xf numFmtId="3" fontId="4" fillId="6" borderId="1" pivotButton="0" quotePrefix="0" xfId="0"/>
    <xf numFmtId="1" fontId="4" fillId="0" borderId="1" pivotButton="0" quotePrefix="0" xfId="0"/>
    <xf numFmtId="0" fontId="6" fillId="0" borderId="0" pivotButton="0" quotePrefix="0" xfId="0"/>
    <xf numFmtId="9" fontId="4" fillId="0" borderId="1" pivotButton="0" quotePrefix="0" xfId="0"/>
    <xf numFmtId="0" fontId="7" fillId="0" borderId="0" pivotButton="0" quotePrefix="0" xfId="0"/>
    <xf numFmtId="165" fontId="4" fillId="0" borderId="1" pivotButton="0" quotePrefix="0" xfId="0"/>
    <xf numFmtId="166" fontId="4" fillId="0" borderId="1" pivotButton="0" quotePrefix="0" xfId="0"/>
    <xf numFmtId="167" fontId="4" fillId="0" borderId="1" pivotButton="0" quotePrefix="0" xfId="0"/>
    <xf numFmtId="0" fontId="4" fillId="6" borderId="1" pivotButton="0" quotePrefix="0" xfId="0"/>
    <xf numFmtId="0" fontId="4" fillId="5" borderId="1" pivotButton="0" quotePrefix="0" xfId="0"/>
    <xf numFmtId="0" fontId="8" fillId="0" borderId="0" applyAlignment="1" pivotButton="0" quotePrefix="0" xfId="0">
      <alignment vertical="top" wrapText="1"/>
    </xf>
    <xf numFmtId="0" fontId="5" fillId="0" borderId="1" applyAlignment="1" pivotButton="0" quotePrefix="0" xfId="0">
      <alignment vertical="top"/>
    </xf>
    <xf numFmtId="4" fontId="4" fillId="0" borderId="1" applyAlignment="1" pivotButton="0" quotePrefix="0" xfId="0">
      <alignment vertical="top"/>
    </xf>
    <xf numFmtId="1" fontId="5" fillId="0" borderId="1" pivotButton="0" quotePrefix="0" xfId="0"/>
    <xf numFmtId="164" fontId="4" fillId="5" borderId="1" pivotButton="0" quotePrefix="0" xfId="0"/>
    <xf numFmtId="0" fontId="6" fillId="5" borderId="0" applyAlignment="1" pivotButton="0" quotePrefix="0" xfId="0">
      <alignment vertical="center" wrapText="1"/>
    </xf>
    <xf numFmtId="4" fontId="4" fillId="4" borderId="1" applyAlignment="1" pivotButton="0" quotePrefix="0" xfId="0">
      <alignment vertical="top"/>
    </xf>
    <xf numFmtId="167" fontId="0" fillId="0" borderId="1" pivotButton="0" quotePrefix="0" xfId="0"/>
    <xf numFmtId="0" fontId="10" fillId="5" borderId="0" applyAlignment="1" pivotButton="0" quotePrefix="0" xfId="0">
      <alignment horizontal="center" vertical="center"/>
    </xf>
    <xf numFmtId="0" fontId="5" fillId="0" borderId="0" applyAlignment="1" pivotButton="0" quotePrefix="0" xfId="0">
      <alignment vertical="top" wrapText="1"/>
    </xf>
    <xf numFmtId="0" fontId="4" fillId="0" borderId="1" applyAlignment="1" pivotButton="0" quotePrefix="0" xfId="0">
      <alignment vertical="top"/>
    </xf>
    <xf numFmtId="0" fontId="5" fillId="5" borderId="1" applyAlignment="1" pivotButton="0" quotePrefix="0" xfId="0">
      <alignment horizontal="center" vertical="center"/>
    </xf>
    <xf numFmtId="4" fontId="5" fillId="5" borderId="1" pivotButton="0" quotePrefix="0" xfId="0"/>
    <xf numFmtId="164" fontId="0" fillId="0" borderId="1" pivotButton="0" quotePrefix="0" xfId="0"/>
    <xf numFmtId="3" fontId="4" fillId="0" borderId="1" applyAlignment="1" pivotButton="0" quotePrefix="0" xfId="0">
      <alignment vertical="top"/>
    </xf>
    <xf numFmtId="167" fontId="5" fillId="0" borderId="1" pivotButton="0" quotePrefix="0" xfId="0"/>
    <xf numFmtId="0" fontId="5" fillId="3" borderId="1" pivotButton="0" quotePrefix="0" xfId="0"/>
    <xf numFmtId="4" fontId="5" fillId="3" borderId="1" pivotButton="0" quotePrefix="0" xfId="0"/>
    <xf numFmtId="167" fontId="5" fillId="3" borderId="1" pivotButton="0" quotePrefix="0" xfId="0"/>
    <xf numFmtId="164" fontId="5" fillId="0" borderId="1" pivotButton="0" quotePrefix="0" xfId="0"/>
    <xf numFmtId="0" fontId="7" fillId="8" borderId="0" applyAlignment="1" pivotButton="0" quotePrefix="0" xfId="0">
      <alignment vertical="center" wrapText="1"/>
    </xf>
    <xf numFmtId="0" fontId="5" fillId="0" borderId="1" applyAlignment="1" pivotButton="0" quotePrefix="0" xfId="0">
      <alignment horizontal="right"/>
    </xf>
    <xf numFmtId="4" fontId="5" fillId="8" borderId="1" pivotButton="0" quotePrefix="0" xfId="0"/>
    <xf numFmtId="0" fontId="5" fillId="8" borderId="1" applyAlignment="1" pivotButton="0" quotePrefix="0" xfId="0">
      <alignment horizontal="center" vertical="center"/>
    </xf>
    <xf numFmtId="164" fontId="4" fillId="8" borderId="1" pivotButton="0" quotePrefix="0" xfId="0"/>
    <xf numFmtId="3" fontId="0" fillId="0" borderId="1" pivotButton="0" quotePrefix="0" xfId="0"/>
    <xf numFmtId="4" fontId="4" fillId="0" borderId="1" applyAlignment="1" pivotButton="0" quotePrefix="0" xfId="0">
      <alignment horizontal="center"/>
    </xf>
    <xf numFmtId="10"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4"/>
  <sheetViews>
    <sheetView showGridLines="0" workbookViewId="0">
      <selection activeCell="A1" sqref="A1"/>
    </sheetView>
  </sheetViews>
  <sheetFormatPr baseColWidth="8" defaultRowHeight="15"/>
  <cols>
    <col width="58" customWidth="1" min="1" max="1"/>
    <col width="34" customWidth="1" min="2" max="2"/>
    <col width="24" customWidth="1" min="3" max="3"/>
    <col width="20" customWidth="1" min="4" max="4"/>
    <col width="22" customWidth="1" min="5" max="5"/>
    <col width="46" customWidth="1" min="6" max="6"/>
  </cols>
  <sheetData>
    <row r="1">
      <c r="A1" s="1" t="inlineStr">
        <is>
          <t>LA DEHESA DEL CASTRILLO S.L. - MODEL MAP, CASES &amp; INTEGRITY CHECKS</t>
        </is>
      </c>
    </row>
    <row r="2">
      <c r="A2" s="2" t="inlineStr">
        <is>
          <t>A live, formula-driven management case alongside the independent INE market case and a re-modelled promoter case whose 86,275 revenue is a model construct, not a source figure (README section 2).</t>
        </is>
      </c>
    </row>
    <row r="4">
      <c r="A4" s="3" t="inlineStr">
        <is>
          <t>1. MODEL MAP</t>
        </is>
      </c>
    </row>
    <row r="5">
      <c r="A5" s="4" t="inlineStr">
        <is>
          <t>Tab</t>
        </is>
      </c>
      <c r="B5" s="4" t="inlineStr">
        <is>
          <t>Purpose</t>
        </is>
      </c>
    </row>
    <row r="6">
      <c r="A6" s="5" t="inlineStr">
        <is>
          <t>Read Me &amp; Checks</t>
        </is>
      </c>
      <c r="B6" s="6" t="inlineStr">
        <is>
          <t>This page: map, case definitions, live checks and headline findings.</t>
        </is>
      </c>
    </row>
    <row r="7">
      <c r="A7" s="5" t="inlineStr">
        <is>
          <t>Inputs</t>
        </is>
      </c>
      <c r="B7" s="6" t="inlineStr">
        <is>
          <t>Every hard-coded assumption in one place (rows 5-48).</t>
        </is>
      </c>
    </row>
    <row r="8">
      <c r="A8" s="5" t="inlineStr">
        <is>
          <t>Live Model</t>
        </is>
      </c>
      <c r="B8" s="6" t="inlineStr">
        <is>
          <t>Formula-driven 5-year P&amp;L, cash flow, tax, debt and balance sheet; reconciles to Python.</t>
        </is>
      </c>
    </row>
    <row r="9">
      <c r="A9" s="5" t="inlineStr">
        <is>
          <t>Funding &amp; Audit</t>
        </is>
      </c>
      <c r="B9" s="6" t="inlineStr">
        <is>
          <t>Sources &amp; uses by case, close-day reconciliation, Phase II gate and computed audit.</t>
        </is>
      </c>
    </row>
    <row r="10">
      <c r="A10" s="5" t="inlineStr">
        <is>
          <t>Executive Scorecard</t>
        </is>
      </c>
      <c r="B10" s="6" t="inlineStr">
        <is>
          <t>One-page underwriting scorecard (management case, Python snapshot).</t>
        </is>
      </c>
    </row>
    <row r="11">
      <c r="A11" s="5" t="inlineStr">
        <is>
          <t>3-Statement Model</t>
        </is>
      </c>
      <c r="B11" s="6" t="inlineStr">
        <is>
          <t>Full Python output: P&amp;L, cash flow and balance sheet.</t>
        </is>
      </c>
    </row>
    <row r="12">
      <c r="A12" s="5" t="inlineStr">
        <is>
          <t>Debt Schedule</t>
        </is>
      </c>
      <c r="B12" s="6" t="inlineStr">
        <is>
          <t>240-month French amortisation (12-month grace, 20 years) with SUMIF annual summary.</t>
        </is>
      </c>
    </row>
    <row r="13">
      <c r="A13" s="5" t="inlineStr">
        <is>
          <t>Scenario Stress-Testing</t>
        </is>
      </c>
      <c r="B13" s="6" t="inlineStr">
        <is>
          <t>Conservative / base / optimistic scenarios and the 2-D Year-2 DSCR matrix.</t>
        </is>
      </c>
    </row>
    <row r="14">
      <c r="A14" s="5" t="inlineStr">
        <is>
          <t>Monte Carlo Risk</t>
        </is>
      </c>
      <c r="B14" s="6" t="inlineStr">
        <is>
          <t>1,000-draw stochastic credit simulation on the minimum DSCR.</t>
        </is>
      </c>
    </row>
    <row r="15">
      <c r="A15" s="5" t="inlineStr">
        <is>
          <t>Credit Risk &amp; Copula</t>
        </is>
      </c>
      <c r="B15" s="6" t="inlineStr">
        <is>
          <t>Gaussian / Student-t / Clayton tail risk on the Year-2 DSCR.</t>
        </is>
      </c>
    </row>
    <row r="16">
      <c r="A16" s="5" t="inlineStr">
        <is>
          <t>Unit Economics &amp; Runway</t>
        </is>
      </c>
      <c r="B16" s="6" t="inlineStr">
        <is>
          <t>RevPAR, TRevPAR, contribution margin and the 24-month cash runway.</t>
        </is>
      </c>
    </row>
    <row r="17">
      <c r="A17" s="5" t="inlineStr">
        <is>
          <t>Phase II Expansion</t>
        </is>
      </c>
      <c r="B17" s="6" t="inlineStr">
        <is>
          <t>Landscape suites and biopool: CapEx, P&amp;L, phase gate and consolidated impact.</t>
        </is>
      </c>
    </row>
    <row r="18">
      <c r="A18" s="5" t="inlineStr">
        <is>
          <t>Reform Case</t>
        </is>
      </c>
      <c r="B18" s="6" t="inlineStr">
        <is>
          <t>Separate post-decline layer: R1-R6 presets, value bridge, CapEx/cover frontier, stress tests, R7 premium cabins and recommendation.</t>
        </is>
      </c>
    </row>
    <row r="19">
      <c r="A19" s="5" t="inlineStr">
        <is>
          <t>Act 1-5 &amp; T8</t>
        </is>
      </c>
      <c r="B19" s="6" t="inlineStr">
        <is>
          <t>Five-act case study plus the T8 live layer: Act 1 Promoter, Act 2 Audit, Decline Memo, Act 4 T8, Executive Comparison, T8 Sensitivities, T8 Inputs, T8 Debt Schedule and T8 Live Model.</t>
        </is>
      </c>
    </row>
    <row r="20">
      <c r="A20" s="3" t="inlineStr">
        <is>
          <t>2. THREE CASES (DO NOT CONFUSE THEM)</t>
        </is>
      </c>
    </row>
    <row r="21">
      <c r="A21" s="4" t="inlineStr">
        <is>
          <t>Case</t>
        </is>
      </c>
      <c r="B21" s="4" t="inlineStr">
        <is>
          <t>Occupancy</t>
        </is>
      </c>
      <c r="C21" s="4" t="inlineStr">
        <is>
          <t>Revenue Y1</t>
        </is>
      </c>
      <c r="D21" s="4" t="inlineStr">
        <is>
          <t>EBITDA Y1</t>
        </is>
      </c>
      <c r="E21" s="4" t="inlineStr">
        <is>
          <t>DSCR Y1</t>
        </is>
      </c>
      <c r="F21" s="4" t="inlineStr">
        <is>
          <t>Use</t>
        </is>
      </c>
    </row>
    <row r="22">
      <c r="A22" s="5" t="inlineStr">
        <is>
          <t>Management (upside)</t>
        </is>
      </c>
      <c r="B22" s="7" t="inlineStr">
        <is>
          <t>31.36%</t>
        </is>
      </c>
      <c r="C22" s="8" t="n">
        <v>154548</v>
      </c>
      <c r="D22" s="8" t="n">
        <v>24279.92</v>
      </c>
      <c r="E22" s="9" t="n">
        <v>1.34</v>
      </c>
      <c r="F22" s="6" t="inlineStr">
        <is>
          <t>Headline case: 31.36% mature occupancy, 1.48x the INE market average.</t>
        </is>
      </c>
    </row>
    <row r="23">
      <c r="A23" s="5" t="inlineStr">
        <is>
          <t>INE market</t>
        </is>
      </c>
      <c r="B23" s="7" t="inlineStr">
        <is>
          <t>21.24%</t>
        </is>
      </c>
      <c r="C23" s="8" t="n">
        <v>95555</v>
      </c>
      <c r="D23" s="8" t="n">
        <v>-18565.58</v>
      </c>
      <c r="E23" s="9" t="n">
        <v>-1.46</v>
      </c>
      <c r="F23" s="6" t="inlineStr">
        <is>
          <t>Independent benchmark: EBITDA is negative in Year 1 and does not cover debt service.</t>
        </is>
      </c>
    </row>
    <row r="24">
      <c r="A24" s="5" t="inlineStr">
        <is>
          <t>Promoter (re-modelled)</t>
        </is>
      </c>
      <c r="B24" s="7" t="inlineStr">
        <is>
          <t>19.20%</t>
        </is>
      </c>
      <c r="C24" s="8" t="n">
        <v>86275</v>
      </c>
      <c r="D24" s="8" t="n">
        <v>11297</v>
      </c>
      <c r="E24" s="9" t="n">
        <v>0.33</v>
      </c>
      <c r="F24" s="6" t="inlineStr">
        <is>
          <t>Re-modelled: 86,275 is a model construct (EUR 20 ticket), not a source figure; not a replication (README section 2).</t>
        </is>
      </c>
    </row>
    <row r="26">
      <c r="A26" s="3" t="inlineStr">
        <is>
          <t>3. KEY INTEGRITY CHECKS (LIVE FORMULAS)</t>
        </is>
      </c>
    </row>
    <row r="27">
      <c r="A27" s="4" t="inlineStr">
        <is>
          <t>Check</t>
        </is>
      </c>
      <c r="B27" s="4" t="inlineStr">
        <is>
          <t>Where</t>
        </is>
      </c>
      <c r="C27" s="4" t="inlineStr">
        <is>
          <t>Result</t>
        </is>
      </c>
    </row>
    <row r="28">
      <c r="A28" s="6" t="inlineStr">
        <is>
          <t>Assets = liabilities + equity (max absolute)</t>
        </is>
      </c>
      <c r="B28" s="6" t="inlineStr">
        <is>
          <t>Live Model!B62:F62</t>
        </is>
      </c>
      <c r="C28" s="10">
        <f>IF(MAX(ABS('Live Model'!B62),ABS('Live Model'!C62),ABS('Live Model'!D62),ABS('Live Model'!E62),ABS('Live Model'!F62))&lt;1,"PASS","FAIL")</f>
        <v/>
      </c>
    </row>
    <row r="29">
      <c r="A29" s="6" t="inlineStr">
        <is>
          <t>Live revenue vs. Python (Year 1)</t>
        </is>
      </c>
      <c r="B29" s="6" t="inlineStr">
        <is>
          <t>Live Model!E66</t>
        </is>
      </c>
      <c r="C29" s="10">
        <f>'Live Model'!E66</f>
        <v/>
      </c>
    </row>
    <row r="30">
      <c r="A30" s="6" t="inlineStr">
        <is>
          <t>Live EBITDA vs. Python (Year 1)</t>
        </is>
      </c>
      <c r="B30" s="6" t="inlineStr">
        <is>
          <t>Live Model!E67</t>
        </is>
      </c>
      <c r="C30" s="10">
        <f>'Live Model'!E67</f>
        <v/>
      </c>
    </row>
    <row r="31">
      <c r="A31" s="6" t="inlineStr">
        <is>
          <t>Live DSCR vs. Python (Year 2, binding year)</t>
        </is>
      </c>
      <c r="B31" s="6" t="inlineStr">
        <is>
          <t>Live Model!E68</t>
        </is>
      </c>
      <c r="C31" s="10">
        <f>'Live Model'!E68</f>
        <v/>
      </c>
    </row>
    <row r="32">
      <c r="A32" s="6" t="inlineStr">
        <is>
          <t>Live ending cash vs. Python (Year 1)</t>
        </is>
      </c>
      <c r="B32" s="6" t="inlineStr">
        <is>
          <t>Live Model!E69</t>
        </is>
      </c>
      <c r="C32" s="10">
        <f>'Live Model'!E69</f>
        <v/>
      </c>
    </row>
    <row r="33">
      <c r="A33" s="6" t="inlineStr">
        <is>
          <t>Live ending cash vs. Python (Year 2)</t>
        </is>
      </c>
      <c r="B33" s="6" t="inlineStr">
        <is>
          <t>Live Model!E70</t>
        </is>
      </c>
      <c r="C33" s="10">
        <f>'Live Model'!E70</f>
        <v/>
      </c>
    </row>
    <row r="34">
      <c r="A34" s="6" t="inlineStr">
        <is>
          <t>Live net income vs. Python (Year 1)</t>
        </is>
      </c>
      <c r="B34" s="6" t="inlineStr">
        <is>
          <t>Live Model!E71</t>
        </is>
      </c>
      <c r="C34" s="10">
        <f>'Live Model'!E71</f>
        <v/>
      </c>
    </row>
    <row r="35">
      <c r="A35" s="6" t="inlineStr">
        <is>
          <t>DSCR covenant (minimum of Years 1-5 &gt;= 1.25x)</t>
        </is>
      </c>
      <c r="B35" s="6" t="inlineStr">
        <is>
          <t>Live Model!E74</t>
        </is>
      </c>
      <c r="C35" s="10">
        <f>'Live Model'!E74</f>
        <v/>
      </c>
    </row>
    <row r="36">
      <c r="A36" s="6" t="inlineStr">
        <is>
          <t>Senior debt fully amortised by month 240</t>
        </is>
      </c>
      <c r="B36" s="6" t="inlineStr">
        <is>
          <t>Debt Schedule!G264</t>
        </is>
      </c>
      <c r="C36" s="10">
        <f>IF(ABS('Debt Schedule'!G264)&lt;1,"PASS","FAIL")</f>
        <v/>
      </c>
    </row>
    <row r="37">
      <c r="A37" s="6" t="inlineStr">
        <is>
          <t>Sources equal uses at close (management)</t>
        </is>
      </c>
      <c r="B37" s="6" t="inlineStr">
        <is>
          <t>Funding &amp; Audit!B27</t>
        </is>
      </c>
      <c r="C37" s="10">
        <f>IF(ABS('Funding &amp; Audit'!B27)&lt;1,"PASS","FAIL")</f>
        <v/>
      </c>
    </row>
    <row r="38">
      <c r="A38" s="6" t="inlineStr">
        <is>
          <t>VAT bridge within the EUR 175k limit</t>
        </is>
      </c>
      <c r="B38" s="6" t="inlineStr">
        <is>
          <t>Funding &amp; Audit!B23</t>
        </is>
      </c>
      <c r="C38" s="10">
        <f>IF('Funding &amp; Audit'!B23&lt;=175000,"PASS","FAIL")</f>
        <v/>
      </c>
    </row>
    <row r="39">
      <c r="A39" s="6" t="inlineStr">
        <is>
          <t>Phase II phase gate</t>
        </is>
      </c>
      <c r="B39" s="6" t="inlineStr">
        <is>
          <t>Funding &amp; Audit!B38</t>
        </is>
      </c>
      <c r="C39" s="10">
        <f>'Funding &amp; Audit'!B38</f>
        <v/>
      </c>
    </row>
    <row r="41">
      <c r="A41" s="3" t="inlineStr">
        <is>
          <t>4. HEADLINE FINDINGS</t>
        </is>
      </c>
    </row>
    <row r="42" ht="30" customHeight="1">
      <c r="A42" s="11" t="inlineStr">
        <is>
          <t>- The all-in asset cost is EUR 1,050,100 (land, 550 m2 of works, kitchen, FF&amp;E, biopool, digital, fees and contingency). The cash equity plug is EUR 521,090.22, or 49.6% of CapEx, not the 30% in the business plan.</t>
        </is>
      </c>
    </row>
    <row r="43" ht="30" customHeight="1">
      <c r="A43" s="11" t="inlineStr">
        <is>
          <t>- The EUR 367,535 facility is 35% LTV, but the binding constraint is the DSCR: the 1.25x cap supports EUR 339,144.92 (32.3% LTV). The requested loan breaches the covenant in Year 2 (1.15x).</t>
        </is>
      </c>
    </row>
    <row r="44" ht="30" customHeight="1">
      <c r="A44" s="11" t="inlineStr">
        <is>
          <t>- The independent INE market case (21.24%) is negative at EBITDA level in Year 1 (EUR -18,565.58) and its DSCR is -1.46x.</t>
        </is>
      </c>
    </row>
    <row r="45" ht="30" customHeight="1">
      <c r="A45" s="11" t="inlineStr">
        <is>
          <t>- The promoter case (19.2%) is a re-modelling, not a replication: 86,275 is its own revenue construct (EUR 20 ticket) and 11,297 is the deck literal. It is structurally insolvent at the debt service level.</t>
        </is>
      </c>
    </row>
    <row r="46" ht="30" customHeight="1">
      <c r="A46" s="11" t="inlineStr">
        <is>
          <t>- Phase II needs EUR 435,563.70 but Phase I generates EUR 183,322.64 of cash by the end of Year 2: the gate is negative by EUR 252,241.06.</t>
        </is>
      </c>
    </row>
    <row r="47" ht="30" customHeight="1">
      <c r="A47" s="11" t="inlineStr">
        <is>
          <t>- The credit-committee recommendation is DECLINE AS STRUCTURED (RESIZE REQUIRED). The covenant break-even is 32.05% occupancy or an ADR of EUR 86.64; a 10% equity IRR needs EUR 116.36.</t>
        </is>
      </c>
    </row>
    <row r="48" ht="30" customHeight="1">
      <c r="A48" s="11" t="inlineStr">
        <is>
          <t>- The Clayton copula puts P(breach of 1.25x) at 50.7% and the worst-1% annual CFADS shortfall at EUR 62,786 against a EUR 13,824 contractual DSRA.</t>
        </is>
      </c>
    </row>
    <row r="49" ht="30" customHeight="1">
      <c r="A49" s="11" t="inlineStr">
        <is>
          <t>- The separate reform / resize layer is also negative: six external F&amp;B covers, +5% ADR and one extra FTE lift mature EBITDA to EUR 71,321 and asset value to EUR 839,075, still EUR 211,025 below the 1.05M CapEx and EUR 299,550 below total project investment. Only the aggressive eight-cover / +10% ADR corner clears 8%, and it still fails the bank test.</t>
        </is>
      </c>
    </row>
    <row r="50" ht="30" customHeight="1">
      <c r="A50" s="11" t="inlineStr">
        <is>
          <t>- The management case is 31.36% occupancy, 1.48x the INE 21.24%. It is a weekend-weighted mix, not a flat uplift: 72% weekends, 65% holiday bridges and 10% midweek reconstruct the annual target. 68% of the gap is weekend capture; the thin midweek is what the reform's external F&amp;B covers are trying to fill.</t>
        </is>
      </c>
    </row>
    <row r="51" ht="30" customHeight="1">
      <c r="A51" s="11" t="inlineStr">
        <is>
          <t>- The exit is shown gross and net of 3% selling costs. R2's net value gap is EUR 324,723 against total investment; even the aggressive R4 corner fails the net test at EUR 84,147.</t>
        </is>
      </c>
    </row>
    <row r="52" ht="30" customHeight="1">
      <c r="A52" s="11" t="inlineStr">
        <is>
          <t>- The model is deliberately honest: the business does not earn its 8.5% cost of capital at the planned occupancy and ADR, and the workbook says so rather than hiding it.</t>
        </is>
      </c>
    </row>
    <row r="53">
      <c r="A53" s="3" t="inlineStr">
        <is>
          <t>5. DISCLAIMER</t>
        </is>
      </c>
    </row>
    <row r="54" ht="44" customHeight="1">
      <c r="A54" s="12" t="inlineStr">
        <is>
          <t>This is a portfolio model built from the author's own university work, public INE data and public convenio tables. It is not investment advice. The management case is an upside case; the market and promoter cases are the honest downside anchors.</t>
        </is>
      </c>
    </row>
    <row r="56">
      <c r="A56" s="3" t="inlineStr">
        <is>
          <t>6. THE T8 TURNAROUND (ACT 4 / ACT 5)</t>
        </is>
      </c>
    </row>
    <row r="57">
      <c r="A57" s="4" t="inlineStr">
        <is>
          <t>Metric</t>
        </is>
      </c>
      <c r="B57" s="4" t="inlineStr">
        <is>
          <t>T8 cabin case</t>
        </is>
      </c>
    </row>
    <row r="58" ht="34" customHeight="1">
      <c r="A58" s="13" t="inlineStr">
        <is>
          <t>Product</t>
        </is>
      </c>
      <c r="B58" s="14" t="inlineStr">
        <is>
          <t>6 modular cabins (40 m2, 2 bedrooms) + caseron lodge; no commercial restaurant</t>
        </is>
      </c>
      <c r="C58" s="15" t="n"/>
      <c r="D58" s="15" t="n"/>
      <c r="E58" s="15" t="n"/>
      <c r="F58" s="16" t="n"/>
    </row>
    <row r="59" ht="34" customHeight="1">
      <c r="A59" s="13" t="inlineStr">
        <is>
          <t>Investor cheque</t>
        </is>
      </c>
      <c r="B59" s="14" t="inlineStr">
        <is>
          <t>EUR 252,504.82 cash equity (40.6% of cash CapEx); total equity at close EUR 502,504.82</t>
        </is>
      </c>
      <c r="C59" s="15" t="n"/>
      <c r="D59" s="15" t="n"/>
      <c r="E59" s="15" t="n"/>
      <c r="F59" s="16" t="n"/>
    </row>
    <row r="60" ht="34" customHeight="1">
      <c r="A60" s="13" t="inlineStr">
        <is>
          <t>Stabilised operating output (Year 3)</t>
        </is>
      </c>
      <c r="B60" s="14" t="inlineStr">
        <is>
          <t>Revenue EUR 358,062.00; EBITDA EUR 110,190.60 (30.8% margin); gross margin 58.1%</t>
        </is>
      </c>
      <c r="C60" s="15" t="n"/>
      <c r="D60" s="15" t="n"/>
      <c r="E60" s="15" t="n"/>
      <c r="F60" s="16" t="n"/>
    </row>
    <row r="61" ht="34" customHeight="1">
      <c r="A61" s="13" t="inlineStr">
        <is>
          <t>Credit test</t>
        </is>
      </c>
      <c r="B61" s="14" t="inlineStr">
        <is>
          <t>Minimum DSCR 2.31x (Year 2) against the 1.25x covenant; Year 1 DSCR 3.35x</t>
        </is>
      </c>
      <c r="C61" s="15" t="n"/>
      <c r="D61" s="15" t="n"/>
      <c r="E61" s="15" t="n"/>
      <c r="F61" s="16" t="n"/>
    </row>
    <row r="62" ht="34" customHeight="1">
      <c r="A62" s="13" t="inlineStr">
        <is>
          <t>Returns (8.5% exit cap, 3% costs)</t>
        </is>
      </c>
      <c r="B62" s="14" t="inlineStr">
        <is>
          <t>Project IRR 12.60% all-in / 20.70% cash; equity IRR 18.95% all-in / 39.74% cash</t>
        </is>
      </c>
      <c r="C62" s="15" t="n"/>
      <c r="D62" s="15" t="n"/>
      <c r="E62" s="15" t="n"/>
      <c r="F62" s="16" t="n"/>
    </row>
    <row r="63" ht="34" customHeight="1">
      <c r="A63" s="13" t="inlineStr">
        <is>
          <t>Value creation</t>
        </is>
      </c>
      <c r="B63" s="14" t="inlineStr">
        <is>
          <t>Net exit value EUR 1,257,469.20; gap vs all-in investment EUR 304,964.38</t>
        </is>
      </c>
      <c r="C63" s="15" t="n"/>
      <c r="D63" s="15" t="n"/>
      <c r="E63" s="15" t="n"/>
      <c r="F63" s="16" t="n"/>
    </row>
    <row r="64" ht="34" customHeight="1">
      <c r="A64" s="13" t="inlineStr">
        <is>
          <t>Answer to the decline</t>
        </is>
      </c>
      <c r="B64" s="14" t="inlineStr">
        <is>
          <t>Same land, one third of the cash, no kitchen brigade and a covenant with 1.06x of headroom in the binding year.</t>
        </is>
      </c>
      <c r="C64" s="15" t="n"/>
      <c r="D64" s="15" t="n"/>
      <c r="E64" s="15" t="n"/>
      <c r="F64" s="16" t="n"/>
    </row>
  </sheetData>
  <mergeCells count="19">
    <mergeCell ref="A54:F54"/>
    <mergeCell ref="A46:F46"/>
    <mergeCell ref="B62:F62"/>
    <mergeCell ref="B59:F59"/>
    <mergeCell ref="A50:F50"/>
    <mergeCell ref="B58:F58"/>
    <mergeCell ref="A47:F47"/>
    <mergeCell ref="A42:F42"/>
    <mergeCell ref="B60:F60"/>
    <mergeCell ref="B61:F61"/>
    <mergeCell ref="A43:F43"/>
    <mergeCell ref="A52:F52"/>
    <mergeCell ref="A44:F44"/>
    <mergeCell ref="A48:F48"/>
    <mergeCell ref="A49:F49"/>
    <mergeCell ref="A51:F51"/>
    <mergeCell ref="B64:F64"/>
    <mergeCell ref="A45:F45"/>
    <mergeCell ref="B63:F6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3"/>
  <sheetViews>
    <sheetView showGridLines="0" workbookViewId="0">
      <selection activeCell="A1" sqref="A1"/>
    </sheetView>
  </sheetViews>
  <sheetFormatPr baseColWidth="8" defaultRowHeight="15"/>
  <cols>
    <col width="36" customWidth="1" min="1" max="1"/>
    <col width="20" customWidth="1" min="2" max="2"/>
    <col width="14" customWidth="1" min="3" max="3"/>
    <col width="78" customWidth="1" min="4" max="4"/>
  </cols>
  <sheetData>
    <row r="1">
      <c r="A1" s="1" t="inlineStr">
        <is>
          <t>MODEL INPUTS - MANAGEMENT CASE (ALL HARD-CODED ASSUMPTIONS IN ONE PLACE)</t>
        </is>
      </c>
    </row>
    <row r="2">
      <c r="A2" s="2" t="inlineStr">
        <is>
          <t>Change any blue input and the Live Model recalculates. Seventeen tabs are generated artefacts: Read Me &amp; Checks, Executive Scorecard, 3-Statement Model, Debt Schedule (formula-driven), Scenario Stress-Testing, Monte Carlo Risk, Credit Risk &amp; Copula, Unit Economics &amp; Runway, Phase II Expansion, Reform Case, Act 1 - Promoter, Act 2 - Audit, Decline Memo, Act 4 - T8, Executive Comparison, T8 Sensitivities and T8 Debt Schedule. Inputs, Live Model, Funding &amp; Audit, T8 Inputs and T8 Live Model are the live tabs.</t>
        </is>
      </c>
    </row>
    <row r="4">
      <c r="A4" s="4" t="inlineStr">
        <is>
          <t>Input</t>
        </is>
      </c>
      <c r="B4" s="4" t="inlineStr">
        <is>
          <t>Value</t>
        </is>
      </c>
      <c r="C4" s="4" t="inlineStr">
        <is>
          <t>Unit</t>
        </is>
      </c>
      <c r="D4" s="4" t="inlineStr">
        <is>
          <t>Source / basis</t>
        </is>
      </c>
    </row>
    <row r="5">
      <c r="A5" s="5" t="inlineStr">
        <is>
          <t>Mature occupancy</t>
        </is>
      </c>
      <c r="B5" s="17" t="n">
        <v>0.3136438356164383</v>
      </c>
      <c r="C5" s="6" t="inlineStr">
        <is>
          <t>%</t>
        </is>
      </c>
      <c r="D5" s="18" t="inlineStr">
        <is>
          <t>Management case: 31.36% (1.48x the INE market average)</t>
        </is>
      </c>
    </row>
    <row r="6">
      <c r="A6" s="5" t="inlineStr">
        <is>
          <t>Year 1 ramp</t>
        </is>
      </c>
      <c r="B6" s="17" t="n">
        <v>0.9</v>
      </c>
      <c r="C6" s="6" t="inlineStr">
        <is>
          <t>%</t>
        </is>
      </c>
      <c r="D6" s="18" t="inlineStr">
        <is>
          <t>90% of mature occupancy</t>
        </is>
      </c>
    </row>
    <row r="7">
      <c r="A7" s="5" t="inlineStr">
        <is>
          <t>Year 2 ramp</t>
        </is>
      </c>
      <c r="B7" s="17" t="n">
        <v>1</v>
      </c>
      <c r="C7" s="6" t="inlineStr">
        <is>
          <t>%</t>
        </is>
      </c>
      <c r="D7" s="18" t="inlineStr">
        <is>
          <t>100% of mature occupancy</t>
        </is>
      </c>
    </row>
    <row r="8">
      <c r="A8" s="5" t="inlineStr">
        <is>
          <t>Year 3 ramp</t>
        </is>
      </c>
      <c r="B8" s="17" t="n">
        <v>1</v>
      </c>
      <c r="C8" s="6" t="inlineStr">
        <is>
          <t>%</t>
        </is>
      </c>
      <c r="D8" s="18" t="inlineStr">
        <is>
          <t>No nominal ADR growth after stabilisation</t>
        </is>
      </c>
    </row>
    <row r="9">
      <c r="A9" s="5" t="inlineStr">
        <is>
          <t>Year 4 ramp</t>
        </is>
      </c>
      <c r="B9" s="17" t="n">
        <v>1</v>
      </c>
      <c r="C9" s="6" t="inlineStr">
        <is>
          <t>%</t>
        </is>
      </c>
      <c r="D9" s="18" t="inlineStr">
        <is>
          <t>No nominal ADR growth after stabilisation</t>
        </is>
      </c>
    </row>
    <row r="10">
      <c r="A10" s="5" t="inlineStr">
        <is>
          <t>Year 5 ramp</t>
        </is>
      </c>
      <c r="B10" s="17" t="n">
        <v>1</v>
      </c>
      <c r="C10" s="6" t="inlineStr">
        <is>
          <t>%</t>
        </is>
      </c>
      <c r="D10" s="18" t="inlineStr">
        <is>
          <t>No nominal ADR growth after stabilisation</t>
        </is>
      </c>
    </row>
    <row r="11">
      <c r="A11" s="5" t="inlineStr">
        <is>
          <t>Double rooms</t>
        </is>
      </c>
      <c r="B11" s="19" t="n">
        <v>7</v>
      </c>
      <c r="C11" s="6" t="inlineStr">
        <is>
          <t>rooms</t>
        </is>
      </c>
      <c r="D11" s="18" t="inlineStr">
        <is>
          <t>Boutique hotel inventory</t>
        </is>
      </c>
    </row>
    <row r="12">
      <c r="A12" s="5" t="inlineStr">
        <is>
          <t>Full houses</t>
        </is>
      </c>
      <c r="B12" s="19" t="n">
        <v>1</v>
      </c>
      <c r="C12" s="6" t="inlineStr">
        <is>
          <t>house</t>
        </is>
      </c>
      <c r="D12" s="18" t="inlineStr">
        <is>
          <t>Casa rural completa</t>
        </is>
      </c>
    </row>
    <row r="13">
      <c r="A13" s="5" t="inlineStr">
        <is>
          <t>Room ADR</t>
        </is>
      </c>
      <c r="B13" s="20" t="n">
        <v>85</v>
      </c>
      <c r="C13" s="6" t="inlineStr">
        <is>
          <t>EUR/night</t>
        </is>
      </c>
      <c r="D13" s="18" t="inlineStr">
        <is>
          <t>Planned net ADR (no nominal uplift)</t>
        </is>
      </c>
    </row>
    <row r="14">
      <c r="A14" s="5" t="inlineStr">
        <is>
          <t>House ADR</t>
        </is>
      </c>
      <c r="B14" s="20" t="n">
        <v>380</v>
      </c>
      <c r="C14" s="6" t="inlineStr">
        <is>
          <t>EUR/night</t>
        </is>
      </c>
      <c r="D14" s="18" t="inlineStr">
        <is>
          <t>Whole-house nightly rate</t>
        </is>
      </c>
    </row>
    <row r="15">
      <c r="A15" s="5" t="inlineStr">
        <is>
          <t>Restaurant ticket</t>
        </is>
      </c>
      <c r="B15" s="20" t="n">
        <v>25</v>
      </c>
      <c r="C15" s="6" t="inlineStr">
        <is>
          <t>EUR/meal</t>
        </is>
      </c>
      <c r="D15" s="18" t="inlineStr">
        <is>
          <t>Management case (original simulator: EUR 20)</t>
        </is>
      </c>
    </row>
    <row r="16">
      <c r="A16" s="5" t="inlineStr">
        <is>
          <t>Diners per occupied day</t>
        </is>
      </c>
      <c r="B16" s="19" t="n">
        <v>21</v>
      </c>
      <c r="C16" s="6" t="inlineStr">
        <is>
          <t>covers</t>
        </is>
      </c>
      <c r="D16" s="18" t="inlineStr">
        <is>
          <t>7 rooms x 2 guests + 1 house x 7 guests</t>
        </is>
      </c>
    </row>
    <row r="17">
      <c r="A17" s="5" t="inlineStr">
        <is>
          <t>Restaurant COGS</t>
        </is>
      </c>
      <c r="B17" s="17" t="n">
        <v>0.3</v>
      </c>
      <c r="C17" s="6" t="inlineStr">
        <is>
          <t>%</t>
        </is>
      </c>
      <c r="D17" s="18" t="inlineStr">
        <is>
          <t>30% food and beverage cost</t>
        </is>
      </c>
    </row>
    <row r="18">
      <c r="A18" s="5" t="inlineStr">
        <is>
          <t>OTA share</t>
        </is>
      </c>
      <c r="B18" s="17" t="n">
        <v>0.6</v>
      </c>
      <c r="C18" s="6" t="inlineStr">
        <is>
          <t>%</t>
        </is>
      </c>
      <c r="D18" s="18" t="inlineStr">
        <is>
          <t>60% of lodging sold through OTAs</t>
        </is>
      </c>
    </row>
    <row r="19">
      <c r="A19" s="5" t="inlineStr">
        <is>
          <t>OTA commission</t>
        </is>
      </c>
      <c r="B19" s="17" t="n">
        <v>0.15</v>
      </c>
      <c r="C19" s="6" t="inlineStr">
        <is>
          <t>%</t>
        </is>
      </c>
      <c r="D19" s="18" t="inlineStr">
        <is>
          <t>15% commission on OTA bookings (9% blended)</t>
        </is>
      </c>
    </row>
    <row r="20">
      <c r="A20" s="5" t="inlineStr">
        <is>
          <t>Amenities per occupied day</t>
        </is>
      </c>
      <c r="B20" s="20" t="n">
        <v>35</v>
      </c>
      <c r="C20" s="6" t="inlineStr">
        <is>
          <t>EUR/day</t>
        </is>
      </c>
      <c r="D20" s="18" t="inlineStr">
        <is>
          <t>Housekeeping and guest supplies</t>
        </is>
      </c>
    </row>
    <row r="21">
      <c r="A21" s="5" t="inlineStr">
        <is>
          <t>Breakfast per guest-day</t>
        </is>
      </c>
      <c r="B21" s="20" t="n">
        <v>5</v>
      </c>
      <c r="C21" s="6" t="inlineStr">
        <is>
          <t>EUR/guest-day</t>
        </is>
      </c>
      <c r="D21" s="18" t="inlineStr">
        <is>
          <t>Breakfast cost per guest</t>
        </is>
      </c>
    </row>
    <row r="22">
      <c r="A22" s="5" t="inlineStr">
        <is>
          <t>Guests per occupied day</t>
        </is>
      </c>
      <c r="B22" s="19" t="n">
        <v>21</v>
      </c>
      <c r="C22" s="6" t="inlineStr">
        <is>
          <t>guests</t>
        </is>
      </c>
      <c r="D22" s="18" t="inlineStr">
        <is>
          <t>7 rooms x 2 + 1 house x 7</t>
        </is>
      </c>
    </row>
    <row r="23">
      <c r="A23" s="5" t="inlineStr">
        <is>
          <t>FF&amp;E reserve</t>
        </is>
      </c>
      <c r="B23" s="17" t="n">
        <v>0.03</v>
      </c>
      <c r="C23" s="6" t="inlineStr">
        <is>
          <t>%</t>
        </is>
      </c>
      <c r="D23" s="18" t="inlineStr">
        <is>
          <t>3% of revenue, deducted before debt service</t>
        </is>
      </c>
    </row>
    <row r="24">
      <c r="A24" s="5" t="inlineStr">
        <is>
          <t>Annual payroll</t>
        </is>
      </c>
      <c r="B24" s="20" t="n">
        <v>60075</v>
      </c>
      <c r="C24" s="6" t="inlineStr">
        <is>
          <t>EUR</t>
        </is>
      </c>
      <c r="D24" s="18" t="inlineStr">
        <is>
          <t>2.09 FTE part-time contracts + 35% social security</t>
        </is>
      </c>
    </row>
    <row r="25">
      <c r="A25" s="5" t="inlineStr">
        <is>
          <t>Fixed operating expenses</t>
        </is>
      </c>
      <c r="B25" s="20" t="n">
        <v>30500</v>
      </c>
      <c r="C25" s="6" t="inlineStr">
        <is>
          <t>EUR</t>
        </is>
      </c>
      <c r="D25" s="18" t="inlineStr">
        <is>
          <t>Maintenance, insurance, utilities, marketing, PMS, admin</t>
        </is>
      </c>
    </row>
    <row r="26">
      <c r="A26" s="5" t="inlineStr">
        <is>
          <t>Corporate tax rate</t>
        </is>
      </c>
      <c r="B26" s="17" t="n">
        <v>0.25</v>
      </c>
      <c r="C26" s="6" t="inlineStr">
        <is>
          <t>%</t>
        </is>
      </c>
      <c r="D26" s="18" t="inlineStr">
        <is>
          <t>Ley 27/2014 (with BIN carry-forward in the live model)</t>
        </is>
      </c>
    </row>
    <row r="27">
      <c r="A27" s="5" t="inlineStr">
        <is>
          <t>Total CapEx (net of VAT)</t>
        </is>
      </c>
      <c r="B27" s="20" t="n">
        <v>1050100</v>
      </c>
      <c r="C27" s="6" t="inlineStr">
        <is>
          <t>EUR</t>
        </is>
      </c>
      <c r="D27" s="18" t="inlineStr">
        <is>
          <t>Land 250k + works 550k + kitchen 55k + FF&amp;E 65k + biopool 40k + digital 12k + fees 42.6k + contingency 35.5k</t>
        </is>
      </c>
    </row>
    <row r="28">
      <c r="A28" s="5" t="inlineStr">
        <is>
          <t>Land contributed in kind</t>
        </is>
      </c>
      <c r="B28" s="20" t="n">
        <v>250000</v>
      </c>
      <c r="C28" s="6" t="inlineStr">
        <is>
          <t>EUR</t>
        </is>
      </c>
      <c r="D28" s="18" t="inlineStr">
        <is>
          <t>Sponsor contributes the 25-ha estate</t>
        </is>
      </c>
    </row>
    <row r="29">
      <c r="A29" s="5" t="inlineStr">
        <is>
          <t>Cash CapEx</t>
        </is>
      </c>
      <c r="B29" s="20" t="n">
        <v>800100</v>
      </c>
      <c r="C29" s="6" t="inlineStr">
        <is>
          <t>EUR</t>
        </is>
      </c>
      <c r="D29" s="18" t="inlineStr">
        <is>
          <t>All-in cost less the in-kind land</t>
        </is>
      </c>
    </row>
    <row r="30">
      <c r="A30" s="5" t="inlineStr">
        <is>
          <t>Annual PP&amp;E depreciation</t>
        </is>
      </c>
      <c r="B30" s="20" t="n">
        <v>38943</v>
      </c>
      <c r="C30" s="6" t="inlineStr">
        <is>
          <t>EUR</t>
        </is>
      </c>
      <c r="D30" s="18" t="inlineStr">
        <is>
          <t>Linear fiscal tables (Ley 27/2014)</t>
        </is>
      </c>
    </row>
    <row r="31">
      <c r="A31" s="5" t="inlineStr">
        <is>
          <t>Pre-opening costs</t>
        </is>
      </c>
      <c r="B31" s="20" t="n">
        <v>35000</v>
      </c>
      <c r="C31" s="6" t="inlineStr">
        <is>
          <t>EUR</t>
        </is>
      </c>
      <c r="D31" s="18" t="inlineStr">
        <is>
          <t>Capitalised and amortised over five years</t>
        </is>
      </c>
    </row>
    <row r="32">
      <c r="A32" s="5" t="inlineStr">
        <is>
          <t>Pre-opening amortisation years</t>
        </is>
      </c>
      <c r="B32" s="19" t="n">
        <v>5</v>
      </c>
      <c r="C32" s="6" t="inlineStr">
        <is>
          <t>years</t>
        </is>
      </c>
      <c r="D32" s="18" t="inlineStr">
        <is>
          <t>Straight line</t>
        </is>
      </c>
    </row>
    <row r="33">
      <c r="A33" s="5" t="inlineStr">
        <is>
          <t>Senior debt principal</t>
        </is>
      </c>
      <c r="B33" s="20" t="n">
        <v>367535</v>
      </c>
      <c r="C33" s="6" t="inlineStr">
        <is>
          <t>EUR</t>
        </is>
      </c>
      <c r="D33" s="18" t="inlineStr">
        <is>
          <t>35% LTV of the all-in cost</t>
        </is>
      </c>
    </row>
    <row r="34">
      <c r="A34" s="5" t="inlineStr">
        <is>
          <t>Senior interest rate</t>
        </is>
      </c>
      <c r="B34" s="17" t="n">
        <v>0.04</v>
      </c>
      <c r="C34" s="6" t="inlineStr">
        <is>
          <t>%</t>
        </is>
      </c>
      <c r="D34" s="18" t="inlineStr">
        <is>
          <t>Fixed 4.0% (2026 rural hotel terms)</t>
        </is>
      </c>
    </row>
    <row r="35">
      <c r="A35" s="5" t="inlineStr">
        <is>
          <t>Loan tenure</t>
        </is>
      </c>
      <c r="B35" s="19" t="n">
        <v>20</v>
      </c>
      <c r="C35" s="6" t="inlineStr">
        <is>
          <t>years</t>
        </is>
      </c>
      <c r="D35" s="18" t="inlineStr">
        <is>
          <t>French amortisation over 240 months</t>
        </is>
      </c>
    </row>
    <row r="36">
      <c r="A36" s="5" t="inlineStr">
        <is>
          <t>Grace period</t>
        </is>
      </c>
      <c r="B36" s="19" t="n">
        <v>12</v>
      </c>
      <c r="C36" s="6" t="inlineStr">
        <is>
          <t>months</t>
        </is>
      </c>
      <c r="D36" s="18" t="inlineStr">
        <is>
          <t>Interest-only after opening</t>
        </is>
      </c>
    </row>
    <row r="37">
      <c r="A37" s="5" t="inlineStr">
        <is>
          <t>Interest during construction (IDC)</t>
        </is>
      </c>
      <c r="B37" s="20" t="n">
        <v>14701.4</v>
      </c>
      <c r="C37" s="6" t="inlineStr">
        <is>
          <t>EUR</t>
        </is>
      </c>
      <c r="D37" s="18" t="inlineStr">
        <is>
          <t>12 construction months, paid at close</t>
        </is>
      </c>
    </row>
    <row r="38">
      <c r="A38" s="5" t="inlineStr">
        <is>
          <t>Input VAT (bridge-funded)</t>
        </is>
      </c>
      <c r="B38" s="20" t="n">
        <v>168021</v>
      </c>
      <c r="C38" s="6" t="inlineStr">
        <is>
          <t>EUR</t>
        </is>
      </c>
      <c r="D38" s="18" t="inlineStr">
        <is>
          <t>21% on non-land CapEx; refunded by AEAT</t>
        </is>
      </c>
    </row>
    <row r="39">
      <c r="A39" s="5" t="inlineStr">
        <is>
          <t>VAT bridge interest rate</t>
        </is>
      </c>
      <c r="B39" s="17" t="n">
        <v>0.055</v>
      </c>
      <c r="C39" s="6" t="inlineStr">
        <is>
          <t>%</t>
        </is>
      </c>
      <c r="D39" s="18" t="inlineStr">
        <is>
          <t>5.5% on the drawn bridge</t>
        </is>
      </c>
    </row>
    <row r="40">
      <c r="A40" s="5" t="inlineStr">
        <is>
          <t>LEADER grant</t>
        </is>
      </c>
      <c r="B40" s="20" t="n">
        <v>163000</v>
      </c>
      <c r="C40" s="6" t="inlineStr">
        <is>
          <t>EUR</t>
        </is>
      </c>
      <c r="D40" s="18" t="inlineStr">
        <is>
          <t>Month 14, post-close; cannot fund close-day uses</t>
        </is>
      </c>
    </row>
    <row r="41">
      <c r="A41" s="5" t="inlineStr">
        <is>
          <t>Target DSCR</t>
        </is>
      </c>
      <c r="B41" s="21" t="n">
        <v>1.25</v>
      </c>
      <c r="C41" s="6" t="inlineStr">
        <is>
          <t>x</t>
        </is>
      </c>
      <c r="D41" s="18" t="inlineStr">
        <is>
          <t>Bank covenant floor</t>
        </is>
      </c>
    </row>
    <row r="42">
      <c r="A42" s="5" t="inlineStr">
        <is>
          <t>Initial working capital</t>
        </is>
      </c>
      <c r="B42" s="20" t="n">
        <v>25000</v>
      </c>
      <c r="C42" s="6" t="inlineStr">
        <is>
          <t>EUR</t>
        </is>
      </c>
      <c r="D42" s="18" t="inlineStr">
        <is>
          <t>Opening cash for the ramp-up</t>
        </is>
      </c>
    </row>
    <row r="43">
      <c r="A43" s="5" t="inlineStr">
        <is>
          <t>DSRA</t>
        </is>
      </c>
      <c r="B43" s="20" t="n">
        <v>13823.82</v>
      </c>
      <c r="C43" s="6" t="inlineStr">
        <is>
          <t>EUR</t>
        </is>
      </c>
      <c r="D43" s="18" t="inlineStr">
        <is>
          <t>Six months of the maximum annual debt service</t>
        </is>
      </c>
    </row>
    <row r="44">
      <c r="A44" s="5" t="inlineStr">
        <is>
          <t>Cash equity (plug)</t>
        </is>
      </c>
      <c r="B44" s="20" t="n">
        <v>521090.22</v>
      </c>
      <c r="C44" s="6" t="inlineStr">
        <is>
          <t>EUR</t>
        </is>
      </c>
      <c r="D44" s="18" t="inlineStr">
        <is>
          <t>Closes the structure; 49.6% of CapEx</t>
        </is>
      </c>
    </row>
    <row r="45">
      <c r="A45" s="5" t="inlineStr">
        <is>
          <t>Total equity at close</t>
        </is>
      </c>
      <c r="B45" s="20" t="n">
        <v>771090.22</v>
      </c>
      <c r="C45" s="6" t="inlineStr">
        <is>
          <t>EUR</t>
        </is>
      </c>
      <c r="D45" s="18" t="inlineStr">
        <is>
          <t>Cash equity + land in kind</t>
        </is>
      </c>
    </row>
    <row r="46">
      <c r="A46" s="5" t="inlineStr">
        <is>
          <t>INE market occupancy</t>
        </is>
      </c>
      <c r="B46" s="17" t="n">
        <v>0.2123767123287671</v>
      </c>
      <c r="C46" s="6" t="inlineStr">
        <is>
          <t>%</t>
        </is>
      </c>
      <c r="D46" s="18" t="inlineStr">
        <is>
          <t>INE EOTR Segovia 2025 (reference only)</t>
        </is>
      </c>
    </row>
    <row r="47">
      <c r="A47" s="5" t="inlineStr">
        <is>
          <t>Promoter occupancy</t>
        </is>
      </c>
      <c r="B47" s="17" t="n">
        <v>0.192</v>
      </c>
      <c r="C47" s="6" t="inlineStr">
        <is>
          <t>%</t>
        </is>
      </c>
      <c r="D47" s="18" t="inlineStr">
        <is>
          <t>Promoter case (491 room-nights in Year 1)</t>
        </is>
      </c>
    </row>
    <row r="48">
      <c r="A48" s="5" t="inlineStr">
        <is>
          <t>Committed revolver limit</t>
        </is>
      </c>
      <c r="B48" s="20" t="n">
        <v>175000</v>
      </c>
      <c r="C48" s="6" t="inlineStr">
        <is>
          <t>EUR</t>
        </is>
      </c>
      <c r="D48" s="18" t="inlineStr">
        <is>
          <t>Seasonal liquidity backstop</t>
        </is>
      </c>
    </row>
    <row r="50">
      <c r="A50" s="3" t="inlineStr">
        <is>
          <t>CASE DEFINITIONS</t>
        </is>
      </c>
    </row>
    <row r="51" ht="44" customHeight="1">
      <c r="A51" s="22" t="inlineStr">
        <is>
          <t>Management (upside)</t>
        </is>
      </c>
      <c r="B51" s="11" t="inlineStr">
        <is>
          <t>31.36% mature occupancy (0.90 ramp in Year 1), one on-site meal per guest per day at EUR 25. Full realistic cost stack and the 35% LTV / 20-year structure. This is the headline case.</t>
        </is>
      </c>
    </row>
    <row r="52" ht="44" customHeight="1">
      <c r="A52" s="22" t="inlineStr">
        <is>
          <t>INE market</t>
        </is>
      </c>
      <c r="B52" s="11" t="inlineStr">
        <is>
          <t>21.24% official Segovia room occupancy, original unit economics (EUR 85 / EUR 380 / EUR 20) with the original 1.25x / 1.20x volume ramp, and the same full cost stack.</t>
        </is>
      </c>
    </row>
    <row r="53" ht="44" customHeight="1">
      <c r="A53" s="22" t="inlineStr">
        <is>
          <t>Promoter</t>
        </is>
      </c>
      <c r="B53" s="11" t="inlineStr">
        <is>
          <t>19.20% occupancy, 491 room-nights, 72 house-nights, 859 covers at EUR 20, 4.5% / 25-year debt, no grant and the original EUR 725k cost base. Re-modelled, not replicated: see README section 2.</t>
        </is>
      </c>
    </row>
  </sheetData>
  <mergeCells count="3">
    <mergeCell ref="B53:D53"/>
    <mergeCell ref="B52:D52"/>
    <mergeCell ref="B51:D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6"/>
  <sheetViews>
    <sheetView showGridLines="0" workbookViewId="0">
      <selection activeCell="A1" sqref="A1"/>
    </sheetView>
  </sheetViews>
  <sheetFormatPr baseColWidth="8" defaultRowHeight="15"/>
  <cols>
    <col width="52" customWidth="1" min="1" max="1"/>
    <col width="18" customWidth="1" min="2" max="2"/>
    <col width="18" customWidth="1" min="3" max="3"/>
    <col width="18" customWidth="1" min="4" max="4"/>
    <col width="18" customWidth="1" min="5" max="5"/>
    <col width="18" customWidth="1" min="6" max="6"/>
  </cols>
  <sheetData>
    <row r="1">
      <c r="A1" s="1" t="inlineStr">
        <is>
          <t>LIVE 5-YEAR MODEL - FORMULA-DRIVEN MANAGEMENT CASE</t>
        </is>
      </c>
    </row>
    <row r="2">
      <c r="A2" s="2" t="inlineStr">
        <is>
          <t>Every value in columns B-F is a formula linked to the Inputs tab and the Debt Schedule. The check block compares the live output with the Python model.</t>
        </is>
      </c>
    </row>
    <row r="4">
      <c r="A4" s="4" t="inlineStr">
        <is>
          <t>Line Item</t>
        </is>
      </c>
      <c r="B4" s="4" t="inlineStr">
        <is>
          <t>Year 1</t>
        </is>
      </c>
      <c r="C4" s="4" t="inlineStr">
        <is>
          <t>Year 2</t>
        </is>
      </c>
      <c r="D4" s="4" t="inlineStr">
        <is>
          <t>Year 3</t>
        </is>
      </c>
      <c r="E4" s="4" t="inlineStr">
        <is>
          <t>Year 4</t>
        </is>
      </c>
      <c r="F4" s="4" t="inlineStr">
        <is>
          <t>Year 5</t>
        </is>
      </c>
    </row>
    <row r="5">
      <c r="A5" s="6" t="inlineStr">
        <is>
          <t>Occupancy (% of available days)</t>
        </is>
      </c>
      <c r="B5" s="23">
        <f>Inputs!$B$5*Inputs!$B$6</f>
        <v/>
      </c>
      <c r="C5" s="23">
        <f>Inputs!$B$5*Inputs!$B$7</f>
        <v/>
      </c>
      <c r="D5" s="23">
        <f>Inputs!$B$5*Inputs!$B$8</f>
        <v/>
      </c>
      <c r="E5" s="23">
        <f>Inputs!$B$5*Inputs!$B$9</f>
        <v/>
      </c>
      <c r="F5" s="23">
        <f>Inputs!$B$5*Inputs!$B$10</f>
        <v/>
      </c>
    </row>
    <row r="6">
      <c r="A6" s="6" t="inlineStr">
        <is>
          <t>Occupied day-equivalents</t>
        </is>
      </c>
      <c r="B6" s="24">
        <f>365*B5</f>
        <v/>
      </c>
      <c r="C6" s="24">
        <f>365*C5</f>
        <v/>
      </c>
      <c r="D6" s="24">
        <f>365*D5</f>
        <v/>
      </c>
      <c r="E6" s="24">
        <f>365*E5</f>
        <v/>
      </c>
      <c r="F6" s="24">
        <f>365*F5</f>
        <v/>
      </c>
    </row>
    <row r="7">
      <c r="A7" s="6" t="inlineStr">
        <is>
          <t>Double-room nights</t>
        </is>
      </c>
      <c r="B7" s="24">
        <f>B6*Inputs!$B$11</f>
        <v/>
      </c>
      <c r="C7" s="24">
        <f>C6*Inputs!$B$11</f>
        <v/>
      </c>
      <c r="D7" s="24">
        <f>D6*Inputs!$B$11</f>
        <v/>
      </c>
      <c r="E7" s="24">
        <f>E6*Inputs!$B$11</f>
        <v/>
      </c>
      <c r="F7" s="24">
        <f>F6*Inputs!$B$11</f>
        <v/>
      </c>
    </row>
    <row r="8">
      <c r="A8" s="6" t="inlineStr">
        <is>
          <t>Full-house nights</t>
        </is>
      </c>
      <c r="B8" s="24">
        <f>B6*Inputs!$B$12</f>
        <v/>
      </c>
      <c r="C8" s="24">
        <f>C6*Inputs!$B$12</f>
        <v/>
      </c>
      <c r="D8" s="24">
        <f>D6*Inputs!$B$12</f>
        <v/>
      </c>
      <c r="E8" s="24">
        <f>E6*Inputs!$B$12</f>
        <v/>
      </c>
      <c r="F8" s="24">
        <f>F6*Inputs!$B$12</f>
        <v/>
      </c>
    </row>
    <row r="9">
      <c r="A9" s="6" t="inlineStr">
        <is>
          <t>Guest-days</t>
        </is>
      </c>
      <c r="B9" s="24">
        <f>B6*Inputs!$B$22</f>
        <v/>
      </c>
      <c r="C9" s="24">
        <f>C6*Inputs!$B$22</f>
        <v/>
      </c>
      <c r="D9" s="24">
        <f>D6*Inputs!$B$22</f>
        <v/>
      </c>
      <c r="E9" s="24">
        <f>E6*Inputs!$B$22</f>
        <v/>
      </c>
      <c r="F9" s="24">
        <f>F6*Inputs!$B$22</f>
        <v/>
      </c>
    </row>
    <row r="10">
      <c r="A10" s="6" t="inlineStr">
        <is>
          <t>Room revenue</t>
        </is>
      </c>
      <c r="B10" s="25">
        <f>B7*Inputs!$B$13</f>
        <v/>
      </c>
      <c r="C10" s="25">
        <f>C7*Inputs!$B$13</f>
        <v/>
      </c>
      <c r="D10" s="25">
        <f>D7*Inputs!$B$13</f>
        <v/>
      </c>
      <c r="E10" s="25">
        <f>E7*Inputs!$B$13</f>
        <v/>
      </c>
      <c r="F10" s="25">
        <f>F7*Inputs!$B$13</f>
        <v/>
      </c>
    </row>
    <row r="11">
      <c r="A11" s="6" t="inlineStr">
        <is>
          <t>Full-house revenue</t>
        </is>
      </c>
      <c r="B11" s="25">
        <f>B8*Inputs!$B$14</f>
        <v/>
      </c>
      <c r="C11" s="25">
        <f>C8*Inputs!$B$14</f>
        <v/>
      </c>
      <c r="D11" s="25">
        <f>D8*Inputs!$B$14</f>
        <v/>
      </c>
      <c r="E11" s="25">
        <f>E8*Inputs!$B$14</f>
        <v/>
      </c>
      <c r="F11" s="25">
        <f>F8*Inputs!$B$14</f>
        <v/>
      </c>
    </row>
    <row r="12">
      <c r="A12" s="6" t="inlineStr">
        <is>
          <t>Restaurant revenue</t>
        </is>
      </c>
      <c r="B12" s="25">
        <f>B9*Inputs!$B$15</f>
        <v/>
      </c>
      <c r="C12" s="25">
        <f>C9*Inputs!$B$15</f>
        <v/>
      </c>
      <c r="D12" s="25">
        <f>D9*Inputs!$B$15</f>
        <v/>
      </c>
      <c r="E12" s="25">
        <f>E9*Inputs!$B$15</f>
        <v/>
      </c>
      <c r="F12" s="25">
        <f>F9*Inputs!$B$15</f>
        <v/>
      </c>
    </row>
    <row r="13">
      <c r="A13" s="5" t="inlineStr">
        <is>
          <t>Total revenue</t>
        </is>
      </c>
      <c r="B13" s="25">
        <f>SUM(B10:B12)</f>
        <v/>
      </c>
      <c r="C13" s="25">
        <f>SUM(C10:C12)</f>
        <v/>
      </c>
      <c r="D13" s="25">
        <f>SUM(D10:D12)</f>
        <v/>
      </c>
      <c r="E13" s="25">
        <f>SUM(E10:E12)</f>
        <v/>
      </c>
      <c r="F13" s="25">
        <f>SUM(F10:F12)</f>
        <v/>
      </c>
    </row>
    <row r="14">
      <c r="A14" s="6" t="inlineStr">
        <is>
          <t>Restaurant COGS (30%)</t>
        </is>
      </c>
      <c r="B14" s="25">
        <f>B12*Inputs!$B$17</f>
        <v/>
      </c>
      <c r="C14" s="25">
        <f>C12*Inputs!$B$17</f>
        <v/>
      </c>
      <c r="D14" s="25">
        <f>D12*Inputs!$B$17</f>
        <v/>
      </c>
      <c r="E14" s="25">
        <f>E12*Inputs!$B$17</f>
        <v/>
      </c>
      <c r="F14" s="25">
        <f>F12*Inputs!$B$17</f>
        <v/>
      </c>
    </row>
    <row r="15">
      <c r="A15" s="6" t="inlineStr">
        <is>
          <t>OTA commissions (9% blended)</t>
        </is>
      </c>
      <c r="B15" s="25">
        <f>(B10+B11)*Inputs!$B$18*Inputs!$B$19</f>
        <v/>
      </c>
      <c r="C15" s="25">
        <f>(C10+C11)*Inputs!$B$18*Inputs!$B$19</f>
        <v/>
      </c>
      <c r="D15" s="25">
        <f>(D10+D11)*Inputs!$B$18*Inputs!$B$19</f>
        <v/>
      </c>
      <c r="E15" s="25">
        <f>(E10+E11)*Inputs!$B$18*Inputs!$B$19</f>
        <v/>
      </c>
      <c r="F15" s="25">
        <f>(F10+F11)*Inputs!$B$18*Inputs!$B$19</f>
        <v/>
      </c>
    </row>
    <row r="16">
      <c r="A16" s="6" t="inlineStr">
        <is>
          <t>Amenities and housekeeping</t>
        </is>
      </c>
      <c r="B16" s="25">
        <f>B6*Inputs!$B$20</f>
        <v/>
      </c>
      <c r="C16" s="25">
        <f>C6*Inputs!$B$20</f>
        <v/>
      </c>
      <c r="D16" s="25">
        <f>D6*Inputs!$B$20</f>
        <v/>
      </c>
      <c r="E16" s="25">
        <f>E6*Inputs!$B$20</f>
        <v/>
      </c>
      <c r="F16" s="25">
        <f>F6*Inputs!$B$20</f>
        <v/>
      </c>
    </row>
    <row r="17">
      <c r="A17" s="6" t="inlineStr">
        <is>
          <t>Breakfast cost</t>
        </is>
      </c>
      <c r="B17" s="25">
        <f>B9*Inputs!$B$21</f>
        <v/>
      </c>
      <c r="C17" s="25">
        <f>C9*Inputs!$B$21</f>
        <v/>
      </c>
      <c r="D17" s="25">
        <f>D9*Inputs!$B$21</f>
        <v/>
      </c>
      <c r="E17" s="25">
        <f>E9*Inputs!$B$21</f>
        <v/>
      </c>
      <c r="F17" s="25">
        <f>F9*Inputs!$B$21</f>
        <v/>
      </c>
    </row>
    <row r="18">
      <c r="A18" s="6" t="inlineStr">
        <is>
          <t>Total variable costs</t>
        </is>
      </c>
      <c r="B18" s="25">
        <f>SUM(B14:B17)</f>
        <v/>
      </c>
      <c r="C18" s="25">
        <f>SUM(C14:C17)</f>
        <v/>
      </c>
      <c r="D18" s="25">
        <f>SUM(D14:D17)</f>
        <v/>
      </c>
      <c r="E18" s="25">
        <f>SUM(E14:E17)</f>
        <v/>
      </c>
      <c r="F18" s="25">
        <f>SUM(F14:F17)</f>
        <v/>
      </c>
    </row>
    <row r="19">
      <c r="A19" s="5" t="inlineStr">
        <is>
          <t>Gross margin</t>
        </is>
      </c>
      <c r="B19" s="25">
        <f>B13-B18</f>
        <v/>
      </c>
      <c r="C19" s="25">
        <f>C13-C18</f>
        <v/>
      </c>
      <c r="D19" s="25">
        <f>D13-D18</f>
        <v/>
      </c>
      <c r="E19" s="25">
        <f>E13-E18</f>
        <v/>
      </c>
      <c r="F19" s="25">
        <f>F13-F18</f>
        <v/>
      </c>
    </row>
    <row r="20">
      <c r="A20" s="6" t="inlineStr">
        <is>
          <t>Payroll (incl. 35% social security)</t>
        </is>
      </c>
      <c r="B20" s="25">
        <f>Inputs!$B$24</f>
        <v/>
      </c>
      <c r="C20" s="25">
        <f>Inputs!$B$24</f>
        <v/>
      </c>
      <c r="D20" s="25">
        <f>Inputs!$B$24</f>
        <v/>
      </c>
      <c r="E20" s="25">
        <f>Inputs!$B$24</f>
        <v/>
      </c>
      <c r="F20" s="25">
        <f>Inputs!$B$24</f>
        <v/>
      </c>
    </row>
    <row r="21">
      <c r="A21" s="6" t="inlineStr">
        <is>
          <t>Fixed operating expenses</t>
        </is>
      </c>
      <c r="B21" s="25">
        <f>Inputs!$B$25</f>
        <v/>
      </c>
      <c r="C21" s="25">
        <f>Inputs!$B$25</f>
        <v/>
      </c>
      <c r="D21" s="25">
        <f>Inputs!$B$25</f>
        <v/>
      </c>
      <c r="E21" s="25">
        <f>Inputs!$B$25</f>
        <v/>
      </c>
      <c r="F21" s="25">
        <f>Inputs!$B$25</f>
        <v/>
      </c>
    </row>
    <row r="22">
      <c r="A22" s="5" t="inlineStr">
        <is>
          <t>EBITDA</t>
        </is>
      </c>
      <c r="B22" s="25">
        <f>B19-B20-B21</f>
        <v/>
      </c>
      <c r="C22" s="25">
        <f>C19-C20-C21</f>
        <v/>
      </c>
      <c r="D22" s="25">
        <f>D19-D20-D21</f>
        <v/>
      </c>
      <c r="E22" s="25">
        <f>E19-E20-E21</f>
        <v/>
      </c>
      <c r="F22" s="25">
        <f>F19-F20-F21</f>
        <v/>
      </c>
    </row>
    <row r="23">
      <c r="A23" s="6" t="inlineStr">
        <is>
          <t>FF&amp;E reserve (3% of revenue)</t>
        </is>
      </c>
      <c r="B23" s="25">
        <f>B13*Inputs!$B$23</f>
        <v/>
      </c>
      <c r="C23" s="25">
        <f>C13*Inputs!$B$23</f>
        <v/>
      </c>
      <c r="D23" s="25">
        <f>D13*Inputs!$B$23</f>
        <v/>
      </c>
      <c r="E23" s="25">
        <f>E13*Inputs!$B$23</f>
        <v/>
      </c>
      <c r="F23" s="25">
        <f>F13*Inputs!$B$23</f>
        <v/>
      </c>
    </row>
    <row r="24">
      <c r="A24" s="6" t="inlineStr">
        <is>
          <t>PP&amp;E depreciation</t>
        </is>
      </c>
      <c r="B24" s="25">
        <f>Inputs!$B$30</f>
        <v/>
      </c>
      <c r="C24" s="25">
        <f>Inputs!$B$30</f>
        <v/>
      </c>
      <c r="D24" s="25">
        <f>Inputs!$B$30</f>
        <v/>
      </c>
      <c r="E24" s="25">
        <f>Inputs!$B$30</f>
        <v/>
      </c>
      <c r="F24" s="25">
        <f>Inputs!$B$30</f>
        <v/>
      </c>
    </row>
    <row r="25">
      <c r="A25" s="6" t="inlineStr">
        <is>
          <t>Pre-opening amortisation (5 years)</t>
        </is>
      </c>
      <c r="B25" s="25">
        <f>Inputs!$B$31/Inputs!$B$32</f>
        <v/>
      </c>
      <c r="C25" s="25">
        <f>Inputs!$B$31/Inputs!$B$32</f>
        <v/>
      </c>
      <c r="D25" s="25">
        <f>Inputs!$B$31/Inputs!$B$32</f>
        <v/>
      </c>
      <c r="E25" s="25">
        <f>Inputs!$B$31/Inputs!$B$32</f>
        <v/>
      </c>
      <c r="F25" s="25">
        <f>Inputs!$B$31/Inputs!$B$32</f>
        <v/>
      </c>
    </row>
    <row r="26">
      <c r="A26" s="6" t="inlineStr">
        <is>
          <t>Total D&amp;A</t>
        </is>
      </c>
      <c r="B26" s="25">
        <f>B24+B25</f>
        <v/>
      </c>
      <c r="C26" s="25">
        <f>C24+C25</f>
        <v/>
      </c>
      <c r="D26" s="25">
        <f>D24+D25</f>
        <v/>
      </c>
      <c r="E26" s="25">
        <f>E24+E25</f>
        <v/>
      </c>
      <c r="F26" s="25">
        <f>F24+F25</f>
        <v/>
      </c>
    </row>
    <row r="27">
      <c r="A27" s="5" t="inlineStr">
        <is>
          <t>EBIT</t>
        </is>
      </c>
      <c r="B27" s="25">
        <f>B22-B26</f>
        <v/>
      </c>
      <c r="C27" s="25">
        <f>C22-C26</f>
        <v/>
      </c>
      <c r="D27" s="25">
        <f>D22-D26</f>
        <v/>
      </c>
      <c r="E27" s="25">
        <f>E22-E26</f>
        <v/>
      </c>
      <c r="F27" s="25">
        <f>F22-F26</f>
        <v/>
      </c>
    </row>
    <row r="28">
      <c r="A28" s="6" t="inlineStr">
        <is>
          <t>Beginning senior debt</t>
        </is>
      </c>
      <c r="B28" s="25">
        <f>'Debt Schedule'!B16</f>
        <v/>
      </c>
      <c r="C28" s="25">
        <f>'Debt Schedule'!B17</f>
        <v/>
      </c>
      <c r="D28" s="25">
        <f>'Debt Schedule'!B18</f>
        <v/>
      </c>
      <c r="E28" s="25">
        <f>'Debt Schedule'!B19</f>
        <v/>
      </c>
      <c r="F28" s="25">
        <f>'Debt Schedule'!B20</f>
        <v/>
      </c>
    </row>
    <row r="29">
      <c r="A29" s="6" t="inlineStr">
        <is>
          <t>Senior interest</t>
        </is>
      </c>
      <c r="B29" s="25">
        <f>'Debt Schedule'!E16</f>
        <v/>
      </c>
      <c r="C29" s="25">
        <f>'Debt Schedule'!E17</f>
        <v/>
      </c>
      <c r="D29" s="25">
        <f>'Debt Schedule'!E18</f>
        <v/>
      </c>
      <c r="E29" s="25">
        <f>'Debt Schedule'!E19</f>
        <v/>
      </c>
      <c r="F29" s="25">
        <f>'Debt Schedule'!E20</f>
        <v/>
      </c>
    </row>
    <row r="30">
      <c r="A30" s="6" t="inlineStr">
        <is>
          <t>Principal repayment</t>
        </is>
      </c>
      <c r="B30" s="25">
        <f>'Debt Schedule'!D16</f>
        <v/>
      </c>
      <c r="C30" s="25">
        <f>'Debt Schedule'!D17</f>
        <v/>
      </c>
      <c r="D30" s="25">
        <f>'Debt Schedule'!D18</f>
        <v/>
      </c>
      <c r="E30" s="25">
        <f>'Debt Schedule'!D19</f>
        <v/>
      </c>
      <c r="F30" s="25">
        <f>'Debt Schedule'!D20</f>
        <v/>
      </c>
    </row>
    <row r="31">
      <c r="A31" s="6" t="inlineStr">
        <is>
          <t>Ending senior debt</t>
        </is>
      </c>
      <c r="B31" s="25">
        <f>'Debt Schedule'!F16</f>
        <v/>
      </c>
      <c r="C31" s="25">
        <f>'Debt Schedule'!F17</f>
        <v/>
      </c>
      <c r="D31" s="25">
        <f>'Debt Schedule'!F18</f>
        <v/>
      </c>
      <c r="E31" s="25">
        <f>'Debt Schedule'!F19</f>
        <v/>
      </c>
      <c r="F31" s="25">
        <f>'Debt Schedule'!F20</f>
        <v/>
      </c>
    </row>
    <row r="32">
      <c r="A32" s="6" t="inlineStr">
        <is>
          <t>VAT bridge interest</t>
        </is>
      </c>
      <c r="B32" s="25">
        <f>Inputs!$B$38*Inputs!$B$39</f>
        <v/>
      </c>
      <c r="C32" s="25">
        <f>Inputs!$B$38*Inputs!$B$39*0.5</f>
        <v/>
      </c>
      <c r="D32" s="25">
        <f>0</f>
        <v/>
      </c>
      <c r="E32" s="25">
        <f>0</f>
        <v/>
      </c>
      <c r="F32" s="25">
        <f>0</f>
        <v/>
      </c>
    </row>
    <row r="33">
      <c r="A33" s="6" t="inlineStr">
        <is>
          <t>Total interest</t>
        </is>
      </c>
      <c r="B33" s="25">
        <f>B29+B32</f>
        <v/>
      </c>
      <c r="C33" s="25">
        <f>C29+C32</f>
        <v/>
      </c>
      <c r="D33" s="25">
        <f>D29+D32</f>
        <v/>
      </c>
      <c r="E33" s="25">
        <f>E29+E32</f>
        <v/>
      </c>
      <c r="F33" s="25">
        <f>F29+F32</f>
        <v/>
      </c>
    </row>
    <row r="34">
      <c r="A34" s="6" t="inlineStr">
        <is>
          <t>EBT</t>
        </is>
      </c>
      <c r="B34" s="25">
        <f>B27-B33</f>
        <v/>
      </c>
      <c r="C34" s="25">
        <f>C27-C33</f>
        <v/>
      </c>
      <c r="D34" s="25">
        <f>D27-D33</f>
        <v/>
      </c>
      <c r="E34" s="25">
        <f>E27-E33</f>
        <v/>
      </c>
      <c r="F34" s="25">
        <f>F27-F33</f>
        <v/>
      </c>
    </row>
    <row r="35">
      <c r="A35" s="6" t="inlineStr">
        <is>
          <t>Opening tax losses (BINs)</t>
        </is>
      </c>
      <c r="B35" s="25">
        <f>0</f>
        <v/>
      </c>
      <c r="C35" s="25">
        <f>B38</f>
        <v/>
      </c>
      <c r="D35" s="25">
        <f>C38</f>
        <v/>
      </c>
      <c r="E35" s="25">
        <f>D38</f>
        <v/>
      </c>
      <c r="F35" s="25">
        <f>E38</f>
        <v/>
      </c>
    </row>
    <row r="36">
      <c r="A36" s="6" t="inlineStr">
        <is>
          <t>Taxable base after BINs</t>
        </is>
      </c>
      <c r="B36" s="25">
        <f>MAX(0,B34-B35)</f>
        <v/>
      </c>
      <c r="C36" s="25">
        <f>MAX(0,C34-C35)</f>
        <v/>
      </c>
      <c r="D36" s="25">
        <f>MAX(0,D34-D35)</f>
        <v/>
      </c>
      <c r="E36" s="25">
        <f>MAX(0,E34-E35)</f>
        <v/>
      </c>
      <c r="F36" s="25">
        <f>MAX(0,F34-F35)</f>
        <v/>
      </c>
    </row>
    <row r="37">
      <c r="A37" s="6" t="inlineStr">
        <is>
          <t>Corporate tax (25%)</t>
        </is>
      </c>
      <c r="B37" s="25">
        <f>B36*Inputs!$B$26</f>
        <v/>
      </c>
      <c r="C37" s="25">
        <f>C36*Inputs!$B$26</f>
        <v/>
      </c>
      <c r="D37" s="25">
        <f>D36*Inputs!$B$26</f>
        <v/>
      </c>
      <c r="E37" s="25">
        <f>E36*Inputs!$B$26</f>
        <v/>
      </c>
      <c r="F37" s="25">
        <f>F36*Inputs!$B$26</f>
        <v/>
      </c>
    </row>
    <row r="38">
      <c r="A38" s="6" t="inlineStr">
        <is>
          <t>Closing tax losses (BINs)</t>
        </is>
      </c>
      <c r="B38" s="25">
        <f>B35+IF(B34&lt;0,-B34,0)-IF(B34&gt;0,MIN(B35,B34),0)</f>
        <v/>
      </c>
      <c r="C38" s="25">
        <f>C35+IF(C34&lt;0,-C34,0)-IF(C34&gt;0,MIN(C35,C34),0)</f>
        <v/>
      </c>
      <c r="D38" s="25">
        <f>D35+IF(D34&lt;0,-D34,0)-IF(D34&gt;0,MIN(D35,D34),0)</f>
        <v/>
      </c>
      <c r="E38" s="25">
        <f>E35+IF(E34&lt;0,-E34,0)-IF(E34&gt;0,MIN(E35,E34),0)</f>
        <v/>
      </c>
      <c r="F38" s="25">
        <f>F35+IF(F34&lt;0,-F34,0)-IF(F34&gt;0,MIN(F35,F34),0)</f>
        <v/>
      </c>
    </row>
    <row r="39">
      <c r="A39" s="5" t="inlineStr">
        <is>
          <t>Net income</t>
        </is>
      </c>
      <c r="B39" s="25">
        <f>B34-B37</f>
        <v/>
      </c>
      <c r="C39" s="25">
        <f>C34-C37</f>
        <v/>
      </c>
      <c r="D39" s="25">
        <f>D34-D37</f>
        <v/>
      </c>
      <c r="E39" s="25">
        <f>E34-E37</f>
        <v/>
      </c>
      <c r="F39" s="25">
        <f>F34-F37</f>
        <v/>
      </c>
    </row>
    <row r="40">
      <c r="A40" s="6" t="inlineStr">
        <is>
          <t>Cash flow from operations</t>
        </is>
      </c>
      <c r="B40" s="25">
        <f>B39+B26</f>
        <v/>
      </c>
      <c r="C40" s="25">
        <f>C39+C26</f>
        <v/>
      </c>
      <c r="D40" s="25">
        <f>D39+D26</f>
        <v/>
      </c>
      <c r="E40" s="25">
        <f>E39+E26</f>
        <v/>
      </c>
      <c r="F40" s="25">
        <f>F39+F26</f>
        <v/>
      </c>
    </row>
    <row r="41">
      <c r="A41" s="6" t="inlineStr">
        <is>
          <t>Cash flow from investing</t>
        </is>
      </c>
      <c r="B41" s="25">
        <f>-(Inputs!$B$29+Inputs!$B$37+Inputs!$B$38+Inputs!$B$31+Inputs!$B$42+Inputs!$B$43+B23)</f>
        <v/>
      </c>
      <c r="C41" s="25">
        <f>Inputs!$B$38-C23</f>
        <v/>
      </c>
      <c r="D41" s="25">
        <f>-D23</f>
        <v/>
      </c>
      <c r="E41" s="25">
        <f>-E23</f>
        <v/>
      </c>
      <c r="F41" s="25">
        <f>-F23</f>
        <v/>
      </c>
    </row>
    <row r="42">
      <c r="A42" s="6" t="inlineStr">
        <is>
          <t>Cash flow from financing</t>
        </is>
      </c>
      <c r="B42" s="25">
        <f>Inputs!$B$33+Inputs!$B$44+Inputs!$B$38-B30</f>
        <v/>
      </c>
      <c r="C42" s="25">
        <f>Inputs!$B$40-Inputs!$B$38-C30</f>
        <v/>
      </c>
      <c r="D42" s="25">
        <f>-D30</f>
        <v/>
      </c>
      <c r="E42" s="25">
        <f>-E30</f>
        <v/>
      </c>
      <c r="F42" s="25">
        <f>-F30</f>
        <v/>
      </c>
    </row>
    <row r="43">
      <c r="A43" s="6" t="inlineStr">
        <is>
          <t>Net change in cash</t>
        </is>
      </c>
      <c r="B43" s="25">
        <f>B40+B41+B42</f>
        <v/>
      </c>
      <c r="C43" s="25">
        <f>C40+C41+C42</f>
        <v/>
      </c>
      <c r="D43" s="25">
        <f>D40+D41+D42</f>
        <v/>
      </c>
      <c r="E43" s="25">
        <f>E40+E41+E42</f>
        <v/>
      </c>
      <c r="F43" s="25">
        <f>F40+F41+F42</f>
        <v/>
      </c>
    </row>
    <row r="44">
      <c r="A44" s="5" t="inlineStr">
        <is>
          <t>Ending cash (unrestricted)</t>
        </is>
      </c>
      <c r="B44" s="25">
        <f>Inputs!$B$42+B43</f>
        <v/>
      </c>
      <c r="C44" s="25">
        <f>B44+C43</f>
        <v/>
      </c>
      <c r="D44" s="25">
        <f>C44+D43</f>
        <v/>
      </c>
      <c r="E44" s="25">
        <f>D44+E43</f>
        <v/>
      </c>
      <c r="F44" s="25">
        <f>E44+F43</f>
        <v/>
      </c>
    </row>
    <row r="45">
      <c r="A45" s="5" t="inlineStr">
        <is>
          <t>CFADS (EBITDA - FF&amp;E - tax)</t>
        </is>
      </c>
      <c r="B45" s="25">
        <f>B22-B23-B37</f>
        <v/>
      </c>
      <c r="C45" s="25">
        <f>C22-C23-C37</f>
        <v/>
      </c>
      <c r="D45" s="25">
        <f>D22-D23-D37</f>
        <v/>
      </c>
      <c r="E45" s="25">
        <f>E22-E23-E37</f>
        <v/>
      </c>
      <c r="F45" s="25">
        <f>F22-F23-F37</f>
        <v/>
      </c>
    </row>
    <row r="46">
      <c r="A46" s="6" t="inlineStr">
        <is>
          <t>Senior debt service</t>
        </is>
      </c>
      <c r="B46" s="25">
        <f>B29+B30</f>
        <v/>
      </c>
      <c r="C46" s="25">
        <f>C29+C30</f>
        <v/>
      </c>
      <c r="D46" s="25">
        <f>D29+D30</f>
        <v/>
      </c>
      <c r="E46" s="25">
        <f>E29+E30</f>
        <v/>
      </c>
      <c r="F46" s="25">
        <f>F29+F30</f>
        <v/>
      </c>
    </row>
    <row r="47">
      <c r="A47" s="5" t="inlineStr">
        <is>
          <t>DSCR (x)</t>
        </is>
      </c>
      <c r="B47" s="26">
        <f>B45/B46</f>
        <v/>
      </c>
      <c r="C47" s="26">
        <f>C45/C46</f>
        <v/>
      </c>
      <c r="D47" s="26">
        <f>D45/D46</f>
        <v/>
      </c>
      <c r="E47" s="26">
        <f>E45/E46</f>
        <v/>
      </c>
      <c r="F47" s="26">
        <f>F45/F46</f>
        <v/>
      </c>
    </row>
    <row r="48">
      <c r="A48" s="6" t="inlineStr">
        <is>
          <t>Gross PP&amp;E (incl. capitalised IDC)</t>
        </is>
      </c>
      <c r="B48" s="25">
        <f>Inputs!$B$27+Inputs!$B$37</f>
        <v/>
      </c>
      <c r="C48" s="25">
        <f>Inputs!$B$27+Inputs!$B$37</f>
        <v/>
      </c>
      <c r="D48" s="25">
        <f>Inputs!$B$27+Inputs!$B$37</f>
        <v/>
      </c>
      <c r="E48" s="25">
        <f>Inputs!$B$27+Inputs!$B$37</f>
        <v/>
      </c>
      <c r="F48" s="25">
        <f>Inputs!$B$27+Inputs!$B$37</f>
        <v/>
      </c>
    </row>
    <row r="49">
      <c r="A49" s="6" t="inlineStr">
        <is>
          <t>Accumulated depreciation</t>
        </is>
      </c>
      <c r="B49" s="25">
        <f>B24</f>
        <v/>
      </c>
      <c r="C49" s="25">
        <f>B49+C24</f>
        <v/>
      </c>
      <c r="D49" s="25">
        <f>C49+D24</f>
        <v/>
      </c>
      <c r="E49" s="25">
        <f>D49+E24</f>
        <v/>
      </c>
      <c r="F49" s="25">
        <f>E49+F24</f>
        <v/>
      </c>
    </row>
    <row r="50">
      <c r="A50" s="6" t="inlineStr">
        <is>
          <t>Net PP&amp;E</t>
        </is>
      </c>
      <c r="B50" s="25">
        <f>B48-B49</f>
        <v/>
      </c>
      <c r="C50" s="25">
        <f>C48-C49</f>
        <v/>
      </c>
      <c r="D50" s="25">
        <f>D48-D49</f>
        <v/>
      </c>
      <c r="E50" s="25">
        <f>E48-E49</f>
        <v/>
      </c>
      <c r="F50" s="25">
        <f>F48-F49</f>
        <v/>
      </c>
    </row>
    <row r="51">
      <c r="A51" s="6" t="inlineStr">
        <is>
          <t>Accumulated amortisation</t>
        </is>
      </c>
      <c r="B51" s="25">
        <f>B25</f>
        <v/>
      </c>
      <c r="C51" s="25">
        <f>B51+C25</f>
        <v/>
      </c>
      <c r="D51" s="25">
        <f>C51+D25</f>
        <v/>
      </c>
      <c r="E51" s="25">
        <f>D51+E25</f>
        <v/>
      </c>
      <c r="F51" s="25">
        <f>E51+F25</f>
        <v/>
      </c>
    </row>
    <row r="52">
      <c r="A52" s="6" t="inlineStr">
        <is>
          <t>Net intangibles (pre-opening)</t>
        </is>
      </c>
      <c r="B52" s="25">
        <f>Inputs!$B$31-B51</f>
        <v/>
      </c>
      <c r="C52" s="25">
        <f>Inputs!$B$31-C51</f>
        <v/>
      </c>
      <c r="D52" s="25">
        <f>Inputs!$B$31-D51</f>
        <v/>
      </c>
      <c r="E52" s="25">
        <f>Inputs!$B$31-E51</f>
        <v/>
      </c>
      <c r="F52" s="25">
        <f>Inputs!$B$31-F51</f>
        <v/>
      </c>
    </row>
    <row r="53">
      <c r="A53" s="6" t="inlineStr">
        <is>
          <t>Restricted cash (DSRA + FF&amp;E reserve)</t>
        </is>
      </c>
      <c r="B53" s="25">
        <f>Inputs!$B$43+B23</f>
        <v/>
      </c>
      <c r="C53" s="25">
        <f>B53+C23</f>
        <v/>
      </c>
      <c r="D53" s="25">
        <f>C53+D23</f>
        <v/>
      </c>
      <c r="E53" s="25">
        <f>D53+E23</f>
        <v/>
      </c>
      <c r="F53" s="25">
        <f>E53+F23</f>
        <v/>
      </c>
    </row>
    <row r="54">
      <c r="A54" s="6" t="inlineStr">
        <is>
          <t>VAT receivable (AEAT)</t>
        </is>
      </c>
      <c r="B54" s="25">
        <f>Inputs!$B$38</f>
        <v/>
      </c>
      <c r="C54" s="25">
        <f>0</f>
        <v/>
      </c>
      <c r="D54" s="25">
        <f>0</f>
        <v/>
      </c>
      <c r="E54" s="25">
        <f>0</f>
        <v/>
      </c>
      <c r="F54" s="25">
        <f>0</f>
        <v/>
      </c>
    </row>
    <row r="55">
      <c r="A55" s="5" t="inlineStr">
        <is>
          <t>TOTAL ASSETS</t>
        </is>
      </c>
      <c r="B55" s="25">
        <f>B50+B52+B44+B53+B54</f>
        <v/>
      </c>
      <c r="C55" s="25">
        <f>C50+C52+C44+C53+C54</f>
        <v/>
      </c>
      <c r="D55" s="25">
        <f>D50+D52+D44+D53+D54</f>
        <v/>
      </c>
      <c r="E55" s="25">
        <f>E50+E52+E44+E53+E54</f>
        <v/>
      </c>
      <c r="F55" s="25">
        <f>F50+F52+F44+F53+F54</f>
        <v/>
      </c>
    </row>
    <row r="56">
      <c r="A56" s="6" t="inlineStr">
        <is>
          <t>VAT bridge (liability)</t>
        </is>
      </c>
      <c r="B56" s="25">
        <f>Inputs!$B$38</f>
        <v/>
      </c>
      <c r="C56" s="25">
        <f>0</f>
        <v/>
      </c>
      <c r="D56" s="25">
        <f>0</f>
        <v/>
      </c>
      <c r="E56" s="25">
        <f>0</f>
        <v/>
      </c>
      <c r="F56" s="25">
        <f>0</f>
        <v/>
      </c>
    </row>
    <row r="57">
      <c r="A57" s="5" t="inlineStr">
        <is>
          <t>Total liabilities</t>
        </is>
      </c>
      <c r="B57" s="25">
        <f>B31+B56</f>
        <v/>
      </c>
      <c r="C57" s="25">
        <f>C31+C56</f>
        <v/>
      </c>
      <c r="D57" s="25">
        <f>D31+D56</f>
        <v/>
      </c>
      <c r="E57" s="25">
        <f>E31+E56</f>
        <v/>
      </c>
      <c r="F57" s="25">
        <f>F31+F56</f>
        <v/>
      </c>
    </row>
    <row r="58">
      <c r="A58" s="6" t="inlineStr">
        <is>
          <t>Share capital (land in kind + cash equity)</t>
        </is>
      </c>
      <c r="B58" s="25">
        <f>Inputs!$B$28+Inputs!$B$44</f>
        <v/>
      </c>
      <c r="C58" s="25">
        <f>Inputs!$B$28+Inputs!$B$44</f>
        <v/>
      </c>
      <c r="D58" s="25">
        <f>Inputs!$B$28+Inputs!$B$44</f>
        <v/>
      </c>
      <c r="E58" s="25">
        <f>Inputs!$B$28+Inputs!$B$44</f>
        <v/>
      </c>
      <c r="F58" s="25">
        <f>Inputs!$B$28+Inputs!$B$44</f>
        <v/>
      </c>
    </row>
    <row r="59">
      <c r="A59" s="6" t="inlineStr">
        <is>
          <t>Retained earnings</t>
        </is>
      </c>
      <c r="B59" s="25">
        <f>B39</f>
        <v/>
      </c>
      <c r="C59" s="25">
        <f>B59+C39</f>
        <v/>
      </c>
      <c r="D59" s="25">
        <f>C59+D39</f>
        <v/>
      </c>
      <c r="E59" s="25">
        <f>D59+E39</f>
        <v/>
      </c>
      <c r="F59" s="25">
        <f>E59+F39</f>
        <v/>
      </c>
    </row>
    <row r="60">
      <c r="A60" s="6" t="inlineStr">
        <is>
          <t>Capital subsidies (LEADER)</t>
        </is>
      </c>
      <c r="B60" s="25">
        <f>0</f>
        <v/>
      </c>
      <c r="C60" s="25">
        <f>B60+Inputs!$B$40</f>
        <v/>
      </c>
      <c r="D60" s="25">
        <f>C60</f>
        <v/>
      </c>
      <c r="E60" s="25">
        <f>D60</f>
        <v/>
      </c>
      <c r="F60" s="25">
        <f>E60</f>
        <v/>
      </c>
    </row>
    <row r="61">
      <c r="A61" s="5" t="inlineStr">
        <is>
          <t>Total equity</t>
        </is>
      </c>
      <c r="B61" s="25">
        <f>B58+B59+B60</f>
        <v/>
      </c>
      <c r="C61" s="25">
        <f>C58+C59+C60</f>
        <v/>
      </c>
      <c r="D61" s="25">
        <f>D58+D59+D60</f>
        <v/>
      </c>
      <c r="E61" s="25">
        <f>E58+E59+E60</f>
        <v/>
      </c>
      <c r="F61" s="25">
        <f>F58+F59+F60</f>
        <v/>
      </c>
    </row>
    <row r="62">
      <c r="A62" s="5" t="inlineStr">
        <is>
          <t>Balance check (assets - liabilities - equity)</t>
        </is>
      </c>
      <c r="B62" s="25">
        <f>B55-B57-B61</f>
        <v/>
      </c>
      <c r="C62" s="25">
        <f>C55-C57-C61</f>
        <v/>
      </c>
      <c r="D62" s="25">
        <f>D55-D57-D61</f>
        <v/>
      </c>
      <c r="E62" s="25">
        <f>E55-E57-E61</f>
        <v/>
      </c>
      <c r="F62" s="25">
        <f>F55-F57-F61</f>
        <v/>
      </c>
    </row>
    <row r="64">
      <c r="A64" s="3" t="inlineStr">
        <is>
          <t>CHECKS: LIVE MODEL VS. PYTHON OUTPUT</t>
        </is>
      </c>
    </row>
    <row r="65">
      <c r="A65" s="4" t="inlineStr">
        <is>
          <t>Check</t>
        </is>
      </c>
      <c r="B65" s="4" t="inlineStr">
        <is>
          <t>Python</t>
        </is>
      </c>
      <c r="C65" s="4" t="inlineStr">
        <is>
          <t>Live</t>
        </is>
      </c>
      <c r="D65" s="4" t="inlineStr">
        <is>
          <t>Difference</t>
        </is>
      </c>
      <c r="E65" s="4" t="inlineStr">
        <is>
          <t>Status</t>
        </is>
      </c>
    </row>
    <row r="66">
      <c r="A66" s="5" t="inlineStr">
        <is>
          <t>Revenue Year 1 (EUR)</t>
        </is>
      </c>
      <c r="B66" s="25" t="n">
        <v>154548</v>
      </c>
      <c r="C66" s="25">
        <f>B13</f>
        <v/>
      </c>
      <c r="D66" s="25">
        <f>C66-B66</f>
        <v/>
      </c>
      <c r="E66" s="10">
        <f>IF(ABS(D66)&lt;=1.0,"PASS","FAIL")</f>
        <v/>
      </c>
    </row>
    <row r="67">
      <c r="A67" s="5" t="inlineStr">
        <is>
          <t>EBITDA Year 1 (EUR)</t>
        </is>
      </c>
      <c r="B67" s="25" t="n">
        <v>24279.92</v>
      </c>
      <c r="C67" s="25">
        <f>B22</f>
        <v/>
      </c>
      <c r="D67" s="25">
        <f>C67-B67</f>
        <v/>
      </c>
      <c r="E67" s="10">
        <f>IF(ABS(D67)&lt;=1.0,"PASS","FAIL")</f>
        <v/>
      </c>
    </row>
    <row r="68">
      <c r="A68" s="5" t="inlineStr">
        <is>
          <t>DSCR Year 2 - binding year (x)</t>
        </is>
      </c>
      <c r="B68" s="26" t="n">
        <v>1.15</v>
      </c>
      <c r="C68" s="26">
        <f>C47</f>
        <v/>
      </c>
      <c r="D68" s="26">
        <f>C68-B68</f>
        <v/>
      </c>
      <c r="E68" s="10">
        <f>IF(ABS(D68)&lt;=0.01,"PASS","FAIL")</f>
        <v/>
      </c>
    </row>
    <row r="69">
      <c r="A69" s="5" t="inlineStr">
        <is>
          <t>Ending cash Year 1 (EUR)</t>
        </is>
      </c>
      <c r="B69" s="25" t="n">
        <v>20700.88</v>
      </c>
      <c r="C69" s="25">
        <f>B44</f>
        <v/>
      </c>
      <c r="D69" s="25">
        <f>C69-B69</f>
        <v/>
      </c>
      <c r="E69" s="10">
        <f>IF(ABS(D69)&lt;=1.0,"PASS","FAIL")</f>
        <v/>
      </c>
    </row>
    <row r="70">
      <c r="A70" s="5" t="inlineStr">
        <is>
          <t>Ending cash Year 2 (EUR)</t>
        </is>
      </c>
      <c r="B70" s="25" t="n">
        <v>183322.64</v>
      </c>
      <c r="C70" s="25">
        <f>C44</f>
        <v/>
      </c>
      <c r="D70" s="25">
        <f>C70-B70</f>
        <v/>
      </c>
      <c r="E70" s="10">
        <f>IF(ABS(D70)&lt;=1.0,"PASS","FAIL")</f>
        <v/>
      </c>
    </row>
    <row r="71">
      <c r="A71" s="5" t="inlineStr">
        <is>
          <t>Net income Year 1 (EUR)</t>
        </is>
      </c>
      <c r="B71" s="25" t="n">
        <v>-45605.68</v>
      </c>
      <c r="C71" s="25">
        <f>B39</f>
        <v/>
      </c>
      <c r="D71" s="25">
        <f>C71-B71</f>
        <v/>
      </c>
      <c r="E71" s="10">
        <f>IF(ABS(D71)&lt;=1.0,"PASS","FAIL")</f>
        <v/>
      </c>
    </row>
    <row r="72">
      <c r="A72" s="5" t="inlineStr">
        <is>
          <t>Minimum DSCR Years 1-5 (x)</t>
        </is>
      </c>
      <c r="B72" s="26" t="n">
        <v>1.15</v>
      </c>
      <c r="C72" s="26">
        <f>MIN(B47:F47)</f>
        <v/>
      </c>
      <c r="D72" s="26">
        <f>C72-B72</f>
        <v/>
      </c>
      <c r="E72" s="10">
        <f>IF(ABS(D72)&lt;=0.01,"PASS","FAIL")</f>
        <v/>
      </c>
    </row>
    <row r="73">
      <c r="A73" s="5" t="inlineStr">
        <is>
          <t>Maximum balance-sheet discrepancy (EUR)</t>
        </is>
      </c>
      <c r="B73" s="25" t="n">
        <v>0</v>
      </c>
      <c r="C73" s="25">
        <f>MAX(ABS(B62),ABS(C62),ABS(D62),ABS(E62),ABS(F62))</f>
        <v/>
      </c>
      <c r="D73" s="25">
        <f>C73-B73</f>
        <v/>
      </c>
      <c r="E73" s="10">
        <f>IF(ABS(D73)&lt;=1.0,"PASS","FAIL")</f>
        <v/>
      </c>
    </row>
    <row r="74">
      <c r="A74" s="5" t="inlineStr">
        <is>
          <t>Covenant test: minimum DSCR &gt;= target DSCR</t>
        </is>
      </c>
      <c r="D74" s="26">
        <f>MIN(B47:F47)</f>
        <v/>
      </c>
      <c r="E74" s="10">
        <f>IF(D74&gt;=Inputs!$B$41,"PASS","FAIL")</f>
        <v/>
      </c>
    </row>
    <row r="76" ht="32" customHeight="1">
      <c r="A76" s="12" t="inlineStr">
        <is>
          <t>Note: the VAT bridge is a balance-sheet item (drawn in Year 1, repaid with the AEAT refund in Year 2), not an operating inflow. CFO is net income plus D&amp;A because operating VAT is a pass-through.</t>
        </is>
      </c>
    </row>
  </sheetData>
  <mergeCells count="1">
    <mergeCell ref="A76:F7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7"/>
  <sheetViews>
    <sheetView showGridLines="0" workbookViewId="0">
      <selection activeCell="A1" sqref="A1"/>
    </sheetView>
  </sheetViews>
  <sheetFormatPr baseColWidth="8" defaultRowHeight="15"/>
  <cols>
    <col width="58" customWidth="1" min="1" max="1"/>
    <col width="24" customWidth="1" min="2" max="2"/>
    <col width="22" customWidth="1" min="3" max="3"/>
    <col width="16" customWidth="1" min="4" max="4"/>
    <col width="22" customWidth="1" min="5" max="5"/>
    <col width="20" customWidth="1" min="6" max="6"/>
    <col width="18" customWidth="1" min="7" max="7"/>
    <col width="14" customWidth="1" min="8" max="8"/>
    <col width="26" customWidth="1" min="9" max="9"/>
    <col width="58" customWidth="1" min="10" max="10"/>
    <col width="10" customWidth="1" min="11" max="11"/>
  </cols>
  <sheetData>
    <row r="1">
      <c r="A1" s="1" t="inlineStr">
        <is>
          <t>SOURCES &amp; USES, CLOSE-DAY RECONCILIATION, PHASE II GATE AND COMPUTED AUDIT</t>
        </is>
      </c>
    </row>
    <row r="2">
      <c r="A2" s="2" t="inlineStr">
        <is>
          <t>The honest funding layer: it books every close-day use, tests the requested facility against the DSCR cap and lets the audit fail where the business case fails.</t>
        </is>
      </c>
    </row>
    <row r="4">
      <c r="A4" s="3" t="inlineStr">
        <is>
          <t>1. CAPITAL STRUCTURE AND FUNDING TEST BY CASE</t>
        </is>
      </c>
    </row>
    <row r="5">
      <c r="A5" s="4" t="inlineStr">
        <is>
          <t>Case</t>
        </is>
      </c>
      <c r="B5" s="4" t="inlineStr">
        <is>
          <t>Total uses at close</t>
        </is>
      </c>
      <c r="C5" s="4" t="inlineStr">
        <is>
          <t>Total sources at close</t>
        </is>
      </c>
      <c r="D5" s="4" t="inlineStr">
        <is>
          <t>Gap at close</t>
        </is>
      </c>
      <c r="E5" s="4" t="inlineStr">
        <is>
          <t>VAT bridge Y1</t>
        </is>
      </c>
      <c r="F5" s="4" t="inlineStr">
        <is>
          <t>DSCR-capped debt</t>
        </is>
      </c>
      <c r="G5" s="4" t="inlineStr">
        <is>
          <t>Equity / CapEx %</t>
        </is>
      </c>
      <c r="H5" s="4" t="inlineStr">
        <is>
          <t>Minimum DSCR</t>
        </is>
      </c>
      <c r="I5" s="4" t="inlineStr">
        <is>
          <t>Binding constraint</t>
        </is>
      </c>
      <c r="J5" s="4" t="inlineStr">
        <is>
          <t>Status</t>
        </is>
      </c>
      <c r="K5" s="4" t="inlineStr">
        <is>
          <t>Check</t>
        </is>
      </c>
    </row>
    <row r="6">
      <c r="A6" s="5" t="inlineStr">
        <is>
          <t>management</t>
        </is>
      </c>
      <c r="B6" s="8" t="n">
        <v>1306646.22</v>
      </c>
      <c r="C6" s="8" t="n">
        <v>1306646.22</v>
      </c>
      <c r="D6" s="8" t="n">
        <v>0</v>
      </c>
      <c r="E6" s="8" t="n">
        <v>168021</v>
      </c>
      <c r="F6" s="8" t="n">
        <v>339144.92</v>
      </c>
      <c r="G6" s="7" t="n">
        <v>0.4962</v>
      </c>
      <c r="H6" s="9" t="n">
        <v>1.15</v>
      </c>
      <c r="I6" s="6" t="inlineStr">
        <is>
          <t>DSCR</t>
        </is>
      </c>
      <c r="J6" s="6" t="inlineStr">
        <is>
          <t>FUNDED - sources &amp; uses close and cash stays positive</t>
        </is>
      </c>
      <c r="K6" s="27">
        <f>IF(ABS(D6)&lt;1,"PASS","FAIL")</f>
        <v/>
      </c>
    </row>
    <row r="7">
      <c r="A7" s="5" t="inlineStr">
        <is>
          <t>market</t>
        </is>
      </c>
      <c r="B7" s="8" t="n">
        <v>1342021.05</v>
      </c>
      <c r="C7" s="8" t="n">
        <v>1342021.05</v>
      </c>
      <c r="D7" s="8" t="n">
        <v>0</v>
      </c>
      <c r="E7" s="8" t="n">
        <v>168021</v>
      </c>
      <c r="F7" s="8" t="n">
        <v>0</v>
      </c>
      <c r="G7" s="7" t="n">
        <v>0.5299</v>
      </c>
      <c r="H7" s="9" t="n">
        <v>-1.46</v>
      </c>
      <c r="I7" s="6" t="inlineStr">
        <is>
          <t>NONE (negative CFADS)</t>
        </is>
      </c>
      <c r="J7" s="6" t="inlineStr">
        <is>
          <t>FUNDED BUT BELOW 1.00x DSCR - sponsor support required</t>
        </is>
      </c>
      <c r="K7" s="27">
        <f>IF(ABS(D7)&lt;1,"PASS","FAIL")</f>
        <v/>
      </c>
    </row>
    <row r="8">
      <c r="A8" s="5" t="inlineStr">
        <is>
          <t>promoter</t>
        </is>
      </c>
      <c r="B8" s="8" t="n">
        <v>824750</v>
      </c>
      <c r="C8" s="8" t="n">
        <v>844750</v>
      </c>
      <c r="D8" s="8" t="n">
        <v>20000</v>
      </c>
      <c r="E8" s="8" t="n">
        <v>119750</v>
      </c>
      <c r="F8" s="8" t="n">
        <v>394192.51</v>
      </c>
      <c r="G8" s="7" t="n">
        <v>0.3</v>
      </c>
      <c r="H8" s="9" t="n">
        <v>0.33</v>
      </c>
      <c r="I8" s="6" t="inlineStr">
        <is>
          <t>DSCR</t>
        </is>
      </c>
      <c r="J8" s="6" t="inlineStr">
        <is>
          <t>LIQUIDITY GAP - cash turns negative during the projection</t>
        </is>
      </c>
      <c r="K8" s="27">
        <f>IF(ABS(D8)&lt;1,"PASS","FAIL")</f>
        <v/>
      </c>
    </row>
    <row r="11">
      <c r="A11" s="3" t="inlineStr">
        <is>
          <t>2. CLOSE-DAY SOURCES &amp; USES - MANAGEMENT CASE (EUR)</t>
        </is>
      </c>
    </row>
    <row r="12">
      <c r="A12" s="4" t="inlineStr">
        <is>
          <t>Item</t>
        </is>
      </c>
      <c r="B12" s="4" t="inlineStr">
        <is>
          <t>Amount</t>
        </is>
      </c>
    </row>
    <row r="13">
      <c r="A13" s="28" t="inlineStr">
        <is>
          <t>Land contributed in kind</t>
        </is>
      </c>
      <c r="B13" s="25" t="n">
        <v>250000</v>
      </c>
    </row>
    <row r="14">
      <c r="A14" s="28" t="inlineStr">
        <is>
          <t>Cash CapEx (works, kitchen, FF&amp;E, biopool, digital, fees)</t>
        </is>
      </c>
      <c r="B14" s="25" t="n">
        <v>800100</v>
      </c>
    </row>
    <row r="15">
      <c r="A15" s="28" t="inlineStr">
        <is>
          <t>Interest during construction (IDC)</t>
        </is>
      </c>
      <c r="B15" s="25" t="n">
        <v>14701.4</v>
      </c>
    </row>
    <row r="16">
      <c r="A16" s="28" t="inlineStr">
        <is>
          <t>Input VAT (bridge-funded)</t>
        </is>
      </c>
      <c r="B16" s="25" t="n">
        <v>168021</v>
      </c>
    </row>
    <row r="17">
      <c r="A17" s="28" t="inlineStr">
        <is>
          <t>Pre-opening costs (capitalised)</t>
        </is>
      </c>
      <c r="B17" s="25" t="n">
        <v>35000</v>
      </c>
    </row>
    <row r="18">
      <c r="A18" s="28" t="inlineStr">
        <is>
          <t>Initial working capital</t>
        </is>
      </c>
      <c r="B18" s="25" t="n">
        <v>25000</v>
      </c>
    </row>
    <row r="19">
      <c r="A19" s="28" t="inlineStr">
        <is>
          <t>DSRA (six months of debt service)</t>
        </is>
      </c>
      <c r="B19" s="25" t="n">
        <v>13823.82</v>
      </c>
    </row>
    <row r="20">
      <c r="A20" s="28" t="inlineStr">
        <is>
          <t>Operating cash buffer</t>
        </is>
      </c>
      <c r="B20" s="25" t="n">
        <v>0</v>
      </c>
    </row>
    <row r="21">
      <c r="A21" s="5" t="inlineStr">
        <is>
          <t>TOTAL USES</t>
        </is>
      </c>
      <c r="B21" s="29">
        <f>SUM(B13:B20)</f>
        <v/>
      </c>
    </row>
    <row r="22">
      <c r="A22" s="28" t="inlineStr">
        <is>
          <t>Senior debt (35% LTV)</t>
        </is>
      </c>
      <c r="B22" s="25" t="n">
        <v>367535</v>
      </c>
    </row>
    <row r="23">
      <c r="A23" s="28" t="inlineStr">
        <is>
          <t>VAT bridge (separate EUR 175k facility)</t>
        </is>
      </c>
      <c r="B23" s="25" t="n">
        <v>168021</v>
      </c>
    </row>
    <row r="24">
      <c r="A24" s="28" t="inlineStr">
        <is>
          <t>Land in kind</t>
        </is>
      </c>
      <c r="B24" s="25" t="n">
        <v>250000</v>
      </c>
    </row>
    <row r="25">
      <c r="A25" s="28" t="inlineStr">
        <is>
          <t>Cash equity (the plug that closes the structure)</t>
        </is>
      </c>
      <c r="B25" s="25" t="n">
        <v>521090.22</v>
      </c>
    </row>
    <row r="26">
      <c r="A26" s="5" t="inlineStr">
        <is>
          <t>TOTAL SOURCES</t>
        </is>
      </c>
      <c r="B26" s="29">
        <f>SUM(B22:B25)</f>
        <v/>
      </c>
    </row>
    <row r="27">
      <c r="A27" s="5" t="inlineStr">
        <is>
          <t>FUNDING GAP AT CLOSE (sources - uses)</t>
        </is>
      </c>
      <c r="B27" s="29">
        <f>B26-B21</f>
        <v/>
      </c>
      <c r="C27" s="27">
        <f>IF(ABS(B27)&lt;1,"PASS","FAIL")</f>
        <v/>
      </c>
    </row>
    <row r="28">
      <c r="A28" s="28" t="inlineStr">
        <is>
          <t>Cash equity / total CapEx</t>
        </is>
      </c>
      <c r="B28" s="23">
        <f>B25/Inputs!$B$27</f>
        <v/>
      </c>
    </row>
    <row r="29">
      <c r="A29" s="28" t="inlineStr">
        <is>
          <t>Senior debt / total CapEx (LTV)</t>
        </is>
      </c>
      <c r="B29" s="23">
        <f>B22/Inputs!$B$27</f>
        <v/>
      </c>
    </row>
    <row r="31">
      <c r="A31" s="3" t="inlineStr">
        <is>
          <t>3. PHASE II PHASE GATE (PHASE I MUST BE COVENANT-COMPLIANT AND FUND THE EXPANSION)</t>
        </is>
      </c>
    </row>
    <row r="32">
      <c r="A32" s="5" t="inlineStr">
        <is>
          <t>Phase I cash at end of Year 2 (EUR)</t>
        </is>
      </c>
      <c r="B32" s="8" t="n">
        <v>183322.64</v>
      </c>
    </row>
    <row r="33">
      <c r="A33" s="5" t="inlineStr">
        <is>
          <t>Phase II cash need (net CapEx + input VAT) (EUR)</t>
        </is>
      </c>
      <c r="B33" s="8" t="n">
        <v>435563.7</v>
      </c>
    </row>
    <row r="34">
      <c r="A34" s="5" t="inlineStr">
        <is>
          <t>Phase II funding gap (EUR)</t>
        </is>
      </c>
      <c r="B34" s="8" t="n">
        <v>-252241.06</v>
      </c>
    </row>
    <row r="35">
      <c r="A35" s="5" t="inlineStr">
        <is>
          <t>Phase I DSCR Year 3 (x)</t>
        </is>
      </c>
      <c r="B35" s="9" t="n">
        <v>1.15</v>
      </c>
    </row>
    <row r="36">
      <c r="A36" s="5" t="inlineStr">
        <is>
          <t>DSCR condition (&gt;= 1.25x)</t>
        </is>
      </c>
      <c r="B36" s="30" t="inlineStr">
        <is>
          <t>FAIL</t>
        </is>
      </c>
    </row>
    <row r="37">
      <c r="A37" s="5" t="inlineStr">
        <is>
          <t>Cash condition (Phase I cash &gt;= Phase II need)</t>
        </is>
      </c>
      <c r="B37" s="30" t="inlineStr">
        <is>
          <t>FAIL</t>
        </is>
      </c>
    </row>
    <row r="38">
      <c r="A38" s="5" t="inlineStr">
        <is>
          <t>Phase II proceed</t>
        </is>
      </c>
      <c r="B38" s="30" t="inlineStr">
        <is>
          <t>NO</t>
        </is>
      </c>
    </row>
    <row r="41">
      <c r="A41" s="3" t="inlineStr">
        <is>
          <t>4. COMPUTED AUDIT RULES (THE AUDIT CAN FAIL)</t>
        </is>
      </c>
    </row>
    <row r="42">
      <c r="A42" s="4" t="inlineStr">
        <is>
          <t>Rule ID</t>
        </is>
      </c>
      <c r="B42" s="4" t="inlineStr">
        <is>
          <t>Rule</t>
        </is>
      </c>
      <c r="C42" s="4" t="inlineStr">
        <is>
          <t>Severity</t>
        </is>
      </c>
      <c r="D42" s="4" t="inlineStr">
        <is>
          <t>Status</t>
        </is>
      </c>
      <c r="E42" s="4" t="inlineStr">
        <is>
          <t>Actual</t>
        </is>
      </c>
      <c r="F42" s="4" t="inlineStr">
        <is>
          <t>Threshold</t>
        </is>
      </c>
    </row>
    <row r="43">
      <c r="A43" s="6" t="inlineStr">
        <is>
          <t>RULE_01_BALANCE_SHEET_EQUALITY</t>
        </is>
      </c>
      <c r="B43" s="6" t="inlineStr">
        <is>
          <t>Strict double-entry balance-sheet equality</t>
        </is>
      </c>
      <c r="C43" s="6" t="inlineStr">
        <is>
          <t>MATERIAL</t>
        </is>
      </c>
      <c r="D43" s="31" t="inlineStr">
        <is>
          <t>PASSED</t>
        </is>
      </c>
      <c r="E43" s="32" t="n">
        <v>0</v>
      </c>
      <c r="F43" s="32" t="n">
        <v>0.01</v>
      </c>
    </row>
    <row r="44">
      <c r="A44" s="6" t="inlineStr">
        <is>
          <t>RULE_02_HOSPITALITY_VAT_RATE</t>
        </is>
      </c>
      <c r="B44" s="6" t="inlineStr">
        <is>
          <t>Hospitality statutory VAT rate (10%)</t>
        </is>
      </c>
      <c r="C44" s="6" t="inlineStr">
        <is>
          <t>MATERIAL</t>
        </is>
      </c>
      <c r="D44" s="31" t="inlineStr">
        <is>
          <t>PASSED</t>
        </is>
      </c>
      <c r="E44" s="32" t="n">
        <v>0.1</v>
      </c>
      <c r="F44" s="32" t="n">
        <v>0.1</v>
      </c>
    </row>
    <row r="45">
      <c r="A45" s="6" t="inlineStr">
        <is>
          <t>RULE_03_CAPEX_INPUT_VAT</t>
        </is>
      </c>
      <c r="B45" s="6" t="inlineStr">
        <is>
          <t>CapEx input VAT recognised as a fiscal asset</t>
        </is>
      </c>
      <c r="C45" s="6" t="inlineStr">
        <is>
          <t>MATERIAL</t>
        </is>
      </c>
      <c r="D45" s="31" t="inlineStr">
        <is>
          <t>PASSED</t>
        </is>
      </c>
      <c r="E45" s="32" t="n">
        <v>168021</v>
      </c>
      <c r="F45" s="32" t="n">
        <v>168021</v>
      </c>
    </row>
    <row r="46">
      <c r="A46" s="6" t="inlineStr">
        <is>
          <t>RULE_04_PAYROLL_HOURLY_COMPLIANCE</t>
        </is>
      </c>
      <c r="B46" s="6" t="inlineStr">
        <is>
          <t>Payroll hourly compliance (SMI 2026 and Segovia convenio)</t>
        </is>
      </c>
      <c r="C46" s="6" t="inlineStr">
        <is>
          <t>MATERIAL</t>
        </is>
      </c>
      <c r="D46" s="31" t="inlineStr">
        <is>
          <t>PASSED</t>
        </is>
      </c>
      <c r="E46" s="6" t="inlineStr">
        <is>
          <t>min_hourly_gross=9.77, min_reference=9.02, smi_ok=True, convenio_ok=True</t>
        </is>
      </c>
      <c r="F46" s="32" t="n">
        <v>9.69</v>
      </c>
    </row>
    <row r="47">
      <c r="A47" s="6" t="inlineStr">
        <is>
          <t>RULE_05_MANAGEMENT_DSCR</t>
        </is>
      </c>
      <c r="B47" s="6" t="inlineStr">
        <is>
          <t>Management-case minimum DSCR covenant</t>
        </is>
      </c>
      <c r="C47" s="6" t="inlineStr">
        <is>
          <t>MATERIAL</t>
        </is>
      </c>
      <c r="D47" s="33" t="inlineStr">
        <is>
          <t>FAILED</t>
        </is>
      </c>
      <c r="E47" s="32" t="n">
        <v>1.15</v>
      </c>
      <c r="F47" s="32" t="n">
        <v>1.25</v>
      </c>
    </row>
    <row r="48">
      <c r="A48" s="6" t="inlineStr">
        <is>
          <t>RULE_06_MINIMUM_CASH</t>
        </is>
      </c>
      <c r="B48" s="6" t="inlineStr">
        <is>
          <t>Minimum cash balance over the projection</t>
        </is>
      </c>
      <c r="C48" s="6" t="inlineStr">
        <is>
          <t>MATERIAL</t>
        </is>
      </c>
      <c r="D48" s="31" t="inlineStr">
        <is>
          <t>PASSED</t>
        </is>
      </c>
      <c r="E48" s="32" t="n">
        <v>20700.88</v>
      </c>
      <c r="F48" s="32" t="n">
        <v>0</v>
      </c>
    </row>
    <row r="49">
      <c r="A49" s="6" t="inlineStr">
        <is>
          <t>RULE_07_DSRA_SIZING</t>
        </is>
      </c>
      <c r="B49" s="6" t="inlineStr">
        <is>
          <t>DSRA sizing vs. six months of maximum debt service</t>
        </is>
      </c>
      <c r="C49" s="6" t="inlineStr">
        <is>
          <t>WARNING</t>
        </is>
      </c>
      <c r="D49" s="31" t="inlineStr">
        <is>
          <t>PASSED</t>
        </is>
      </c>
      <c r="E49" s="32" t="n">
        <v>13823.82</v>
      </c>
      <c r="F49" s="32" t="n">
        <v>13823.82</v>
      </c>
    </row>
    <row r="50">
      <c r="A50" s="6" t="inlineStr">
        <is>
          <t>RULE_08_SOURCES_USES_CLOSE</t>
        </is>
      </c>
      <c r="B50" s="6" t="inlineStr">
        <is>
          <t>Sources &amp; uses at close</t>
        </is>
      </c>
      <c r="C50" s="6" t="inlineStr">
        <is>
          <t>MATERIAL</t>
        </is>
      </c>
      <c r="D50" s="31" t="inlineStr">
        <is>
          <t>PASSED</t>
        </is>
      </c>
      <c r="E50" s="32" t="n">
        <v>0</v>
      </c>
      <c r="F50" s="32" t="n">
        <v>0</v>
      </c>
    </row>
    <row r="51">
      <c r="A51" s="6" t="inlineStr">
        <is>
          <t>RULE_09_VAT_BRIDGE_LIMIT</t>
        </is>
      </c>
      <c r="B51" s="6" t="inlineStr">
        <is>
          <t>VAT bridge within its stated limit</t>
        </is>
      </c>
      <c r="C51" s="6" t="inlineStr">
        <is>
          <t>MATERIAL</t>
        </is>
      </c>
      <c r="D51" s="31" t="inlineStr">
        <is>
          <t>PASSED</t>
        </is>
      </c>
      <c r="E51" s="32" t="n">
        <v>168021</v>
      </c>
      <c r="F51" s="32" t="n">
        <v>175000</v>
      </c>
    </row>
    <row r="52">
      <c r="A52" s="6" t="inlineStr">
        <is>
          <t>RULE_10_OCCUPANCY_VS_INE</t>
        </is>
      </c>
      <c r="B52" s="6" t="inlineStr">
        <is>
          <t>Management occupancy vs. INE market benchmark</t>
        </is>
      </c>
      <c r="C52" s="6" t="inlineStr">
        <is>
          <t>WARNING</t>
        </is>
      </c>
      <c r="D52" s="33" t="inlineStr">
        <is>
          <t>FAILED</t>
        </is>
      </c>
      <c r="E52" s="32" t="n">
        <v>1.48</v>
      </c>
      <c r="F52" s="32" t="n">
        <v>1.1</v>
      </c>
    </row>
    <row r="53">
      <c r="A53" s="6" t="inlineStr">
        <is>
          <t>RULE_11_PHASE2_SELF_FUNDING</t>
        </is>
      </c>
      <c r="B53" s="6" t="inlineStr">
        <is>
          <t>Phase II self-funding / phase gate</t>
        </is>
      </c>
      <c r="C53" s="6" t="inlineStr">
        <is>
          <t>MATERIAL</t>
        </is>
      </c>
      <c r="D53" s="33" t="inlineStr">
        <is>
          <t>FAILED</t>
        </is>
      </c>
      <c r="E53" s="32" t="n">
        <v>-252241.06</v>
      </c>
      <c r="F53" s="32" t="n">
        <v>0</v>
      </c>
    </row>
    <row r="54">
      <c r="A54" s="6" t="inlineStr">
        <is>
          <t>RULE_12_RETURNS_VS_WACC</t>
        </is>
      </c>
      <c r="B54" s="6" t="inlineStr">
        <is>
          <t>Project IRR with exit vs. 8% WACC</t>
        </is>
      </c>
      <c r="C54" s="6" t="inlineStr">
        <is>
          <t>MATERIAL</t>
        </is>
      </c>
      <c r="D54" s="33" t="inlineStr">
        <is>
          <t>FAILED</t>
        </is>
      </c>
      <c r="E54" s="32" t="n">
        <v>-0.094874</v>
      </c>
      <c r="F54" s="32" t="n">
        <v>0.08</v>
      </c>
    </row>
    <row r="55">
      <c r="A55" s="6" t="inlineStr">
        <is>
          <t>RULE_13_PROMOTER_CALIBRATION</t>
        </is>
      </c>
      <c r="B55" s="6" t="inlineStr">
        <is>
          <t>Promoter case: declared calibration, not source reconciliation</t>
        </is>
      </c>
      <c r="C55" s="6" t="inlineStr">
        <is>
          <t>INFO</t>
        </is>
      </c>
      <c r="D55" s="34" t="inlineStr">
        <is>
          <t>NOT_APPLICABLE</t>
        </is>
      </c>
      <c r="E55" s="6" t="inlineStr">
        <is>
          <t>model_revenue=86275.0, model_ebitda=11297.0, plan_occupied_days=66.325, plan_revenue_formula=99487.5, plan_ebitda_formula=26701.31, plan_revenue_conclusiones_b5=74851, deck_revenue_b11=96628, deck_ebitda_b12=11297, plan_restaurant_ticket_b19=25</t>
        </is>
      </c>
      <c r="F55" s="6" t="inlineStr">
        <is>
          <t>No source-consistent target</t>
        </is>
      </c>
    </row>
    <row r="56">
      <c r="A56" s="6" t="inlineStr">
        <is>
          <t>RULE_14_MARKET_DSCR</t>
        </is>
      </c>
      <c r="B56" s="6" t="inlineStr">
        <is>
          <t>INE market-case minimum DSCR covenant</t>
        </is>
      </c>
      <c r="C56" s="6" t="inlineStr">
        <is>
          <t>MATERIAL</t>
        </is>
      </c>
      <c r="D56" s="33" t="inlineStr">
        <is>
          <t>FAILED</t>
        </is>
      </c>
      <c r="E56" s="32" t="n">
        <v>-1.46</v>
      </c>
      <c r="F56" s="32" t="n">
        <v>1.25</v>
      </c>
    </row>
    <row r="57">
      <c r="A57" s="6" t="inlineStr">
        <is>
          <t>RULE_15_EQUITY_REQUIREMENT</t>
        </is>
      </c>
      <c r="B57" s="6" t="inlineStr">
        <is>
          <t>Cash equity requirement vs. the 30% assumption</t>
        </is>
      </c>
      <c r="C57" s="6" t="inlineStr">
        <is>
          <t>MATERIAL</t>
        </is>
      </c>
      <c r="D57" s="33" t="inlineStr">
        <is>
          <t>FAILED</t>
        </is>
      </c>
      <c r="E57" s="32" t="n">
        <v>0.4962</v>
      </c>
      <c r="F57" s="32" t="n">
        <v>0.3</v>
      </c>
    </row>
    <row r="58">
      <c r="A58" s="6" t="inlineStr">
        <is>
          <t>RULE_16_FFE_RESERVE</t>
        </is>
      </c>
      <c r="B58" s="6" t="inlineStr">
        <is>
          <t>FF&amp;E reserve deducted from CFADS</t>
        </is>
      </c>
      <c r="C58" s="6" t="inlineStr">
        <is>
          <t>INFO</t>
        </is>
      </c>
      <c r="D58" s="31" t="inlineStr">
        <is>
          <t>PASSED</t>
        </is>
      </c>
      <c r="E58" s="32" t="n">
        <v>4636.44</v>
      </c>
      <c r="F58" s="32" t="n">
        <v>4636.44</v>
      </c>
    </row>
    <row r="59">
      <c r="A59" s="3" t="inlineStr">
        <is>
          <t>AUDIT VERDICT</t>
        </is>
      </c>
      <c r="B59" s="35" t="inlineStr">
        <is>
          <t>CONDITIONAL - 5 MATERIAL EXCEPTION(S)</t>
        </is>
      </c>
    </row>
    <row r="61">
      <c r="A61" s="3" t="inlineStr">
        <is>
          <t>5. KEY FUNDING FINDINGS</t>
        </is>
      </c>
    </row>
    <row r="62" ht="40" customHeight="1">
      <c r="A62" s="11" t="inlineStr">
        <is>
          <t>- Close-day uses are EUR 1,306,646.22 against EUR 1,306,646.22 of sources. The structure closes only because the cash equity line is a reported plug of EUR 521,090.22 (49.6% of CapEx), not 30%.</t>
        </is>
      </c>
    </row>
    <row r="63" ht="40" customHeight="1">
      <c r="A63" s="11" t="inlineStr">
        <is>
          <t>- The requested EUR 367,535.00 facility is within 35% LTV but breaches the 1.25x covenant in Year 2 (1.15x). The DSCR cap is EUR 339,144.92 (32.3% LTV).</t>
        </is>
      </c>
    </row>
    <row r="64" ht="40" customHeight="1">
      <c r="A64" s="11" t="inlineStr">
        <is>
          <t>- The VAT bridge is EUR 168,021.00, inside the EUR 175,000.00 limit, and is repaid with the AEAT refund in Month 18. It is a separate facility, not the old EUR 50k revolver.</t>
        </is>
      </c>
    </row>
    <row r="65" ht="40" customHeight="1">
      <c r="A65" s="11" t="inlineStr">
        <is>
          <t>- The LEADER grant (EUR 163,000) arrives in Month 14 and is booked as a capital subsidy; it cannot fund close-day uses and is not double-counted in Phase II.</t>
        </is>
      </c>
    </row>
    <row r="66" ht="40" customHeight="1">
      <c r="A66" s="11" t="inlineStr">
        <is>
          <t>- Phase II needs EUR 435,563.70 but Phase I generates EUR 183,322.64 of cash by the end of Year 2: a EUR 252,241.06 funding gap. The gate is NO.</t>
        </is>
      </c>
    </row>
    <row r="67" ht="40" customHeight="1">
      <c r="A67" s="11" t="inlineStr">
        <is>
          <t>- The audit verdict is CONDITIONAL - 5 MATERIAL EXCEPTION(S): 9 of 16 rules pass, 1 is not applicable. This is deliberate, not a bug.</t>
        </is>
      </c>
    </row>
  </sheetData>
  <mergeCells count="6">
    <mergeCell ref="A62:K62"/>
    <mergeCell ref="A64:K64"/>
    <mergeCell ref="A65:K65"/>
    <mergeCell ref="A63:K63"/>
    <mergeCell ref="A66:K66"/>
    <mergeCell ref="A67:K6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1" workbookViewId="0">
      <selection activeCell="A1" sqref="A1"/>
    </sheetView>
  </sheetViews>
  <sheetFormatPr baseColWidth="8" defaultRowHeight="15"/>
  <cols>
    <col width="42" customWidth="1" min="1" max="1"/>
    <col width="19" customWidth="1" min="2" max="2"/>
    <col width="33" customWidth="1" min="3" max="3"/>
    <col width="18" customWidth="1" min="4" max="4"/>
    <col width="42" customWidth="1" min="5" max="5"/>
  </cols>
  <sheetData>
    <row r="1">
      <c r="A1" s="1" t="inlineStr">
        <is>
          <t>LA DEHESA DEL CASTRILLO S.L. - MANAGEMENT (UPSIDE) CASE &amp; UNDERWRITING SCORECARD</t>
        </is>
      </c>
    </row>
    <row r="2">
      <c r="A2" s="2" t="inlineStr">
        <is>
          <t>Location: Segovia, Spain | All-in CapEx: 1,050,100 EUR | Capital structure: 35% LTV senior debt (20 years, 12-month grace) / cash equity plug + land in kind</t>
        </is>
      </c>
    </row>
    <row r="3"/>
    <row r="4">
      <c r="A4" s="36" t="inlineStr">
        <is>
          <t>Underwriting Metric</t>
        </is>
      </c>
      <c r="B4" s="36" t="inlineStr">
        <is>
          <t>Year 1 (Ramp-up)</t>
        </is>
      </c>
      <c r="C4" s="36" t="inlineStr">
        <is>
          <t>Year 2 (First Amortising Year)</t>
        </is>
      </c>
      <c r="D4" s="36" t="inlineStr">
        <is>
          <t>Year 3 (Mature)</t>
        </is>
      </c>
      <c r="E4" s="36" t="inlineStr">
        <is>
          <t>Benchmark / Covenant</t>
        </is>
      </c>
    </row>
    <row r="5">
      <c r="A5" s="6" t="inlineStr">
        <is>
          <t>Gross Revenue (EUR)</t>
        </is>
      </c>
      <c r="B5" s="37" t="inlineStr">
        <is>
          <t>154,548.00</t>
        </is>
      </c>
      <c r="C5" s="37" t="inlineStr">
        <is>
          <t>171,720.00</t>
        </is>
      </c>
      <c r="D5" s="37" t="inlineStr">
        <is>
          <t>171,720.00</t>
        </is>
      </c>
      <c r="E5" s="6" t="inlineStr">
        <is>
          <t>Management 31.36%; INE market 21.24%</t>
        </is>
      </c>
    </row>
    <row r="6">
      <c r="A6" s="38" t="inlineStr">
        <is>
          <t>EBITDA (EUR)</t>
        </is>
      </c>
      <c r="B6" s="39" t="inlineStr">
        <is>
          <t>24,279.92</t>
        </is>
      </c>
      <c r="C6" s="39" t="inlineStr">
        <is>
          <t>37,041.58</t>
        </is>
      </c>
      <c r="D6" s="39" t="inlineStr">
        <is>
          <t>37,041.58</t>
        </is>
      </c>
      <c r="E6" s="38" t="inlineStr">
        <is>
          <t>Margin 15.7% to 21.6%</t>
        </is>
      </c>
    </row>
    <row r="7">
      <c r="A7" s="6" t="inlineStr">
        <is>
          <t>FF&amp;E Reserve (3%) (EUR)</t>
        </is>
      </c>
      <c r="B7" s="37" t="inlineStr">
        <is>
          <t>4,636.44</t>
        </is>
      </c>
      <c r="C7" s="37" t="inlineStr">
        <is>
          <t>5,151.60</t>
        </is>
      </c>
      <c r="D7" s="37" t="inlineStr">
        <is>
          <t>5,151.60</t>
        </is>
      </c>
      <c r="E7" s="6" t="inlineStr">
        <is>
          <t>Ranked ahead of debt service</t>
        </is>
      </c>
    </row>
    <row r="8">
      <c r="A8" s="38" t="inlineStr">
        <is>
          <t>CFADS (EBITDA - FF&amp;E - tax) (EUR)</t>
        </is>
      </c>
      <c r="B8" s="39" t="inlineStr">
        <is>
          <t>19,643.48</t>
        </is>
      </c>
      <c r="C8" s="39" t="inlineStr">
        <is>
          <t>31,889.98</t>
        </is>
      </c>
      <c r="D8" s="39" t="inlineStr">
        <is>
          <t>31,889.98</t>
        </is>
      </c>
      <c r="E8" s="38" t="inlineStr">
        <is>
          <t>Cash actually available to the lender</t>
        </is>
      </c>
    </row>
    <row r="9">
      <c r="A9" s="6" t="inlineStr">
        <is>
          <t>Net Income (EUR)</t>
        </is>
      </c>
      <c r="B9" s="37" t="inlineStr">
        <is>
          <t>-45,605.68</t>
        </is>
      </c>
      <c r="C9" s="37" t="inlineStr">
        <is>
          <t>-27,983.40</t>
        </is>
      </c>
      <c r="D9" s="37" t="inlineStr">
        <is>
          <t>-22,825.59</t>
        </is>
      </c>
      <c r="E9" s="6" t="inlineStr">
        <is>
          <t>25% tax; Year-1 BINs shield later years</t>
        </is>
      </c>
    </row>
    <row r="10">
      <c r="A10" s="38" t="inlineStr">
        <is>
          <t>Ending Cash (EUR)</t>
        </is>
      </c>
      <c r="B10" s="39" t="inlineStr">
        <is>
          <t>20,700.88</t>
        </is>
      </c>
      <c r="C10" s="39" t="inlineStr">
        <is>
          <t>183,322.64</t>
        </is>
      </c>
      <c r="D10" s="39" t="inlineStr">
        <is>
          <t>187,564.98</t>
        </is>
      </c>
      <c r="E10" s="38" t="inlineStr">
        <is>
          <t>After close-day uses; see Funding &amp; Audit</t>
        </is>
      </c>
    </row>
    <row r="11">
      <c r="A11" s="6" t="inlineStr">
        <is>
          <t>Senior Debt Balance (EUR)</t>
        </is>
      </c>
      <c r="B11" s="37" t="inlineStr">
        <is>
          <t>367,535.00</t>
        </is>
      </c>
      <c r="C11" s="37" t="inlineStr">
        <is>
          <t>354,348.76</t>
        </is>
      </c>
      <c r="D11" s="37" t="inlineStr">
        <is>
          <t>340,625.29</t>
        </is>
      </c>
      <c r="E11" s="6" t="inlineStr">
        <is>
          <t>20-year French mortgage, 12-month grace (EUR 367.5k)</t>
        </is>
      </c>
    </row>
    <row r="12">
      <c r="A12" s="38" t="inlineStr">
        <is>
          <t>Debt Service Coverage (DSCR)</t>
        </is>
      </c>
      <c r="B12" s="39" t="inlineStr">
        <is>
          <t>1.34x</t>
        </is>
      </c>
      <c r="C12" s="39" t="inlineStr">
        <is>
          <t>1.15x</t>
        </is>
      </c>
      <c r="D12" s="39" t="inlineStr">
        <is>
          <t>1.15x</t>
        </is>
      </c>
      <c r="E12" s="38" t="inlineStr">
        <is>
          <t>Bank covenant floor &gt;= 1.25x</t>
        </is>
      </c>
    </row>
    <row r="13">
      <c r="A13" s="6" t="inlineStr">
        <is>
          <t>Interest Coverage (ICR)</t>
        </is>
      </c>
      <c r="B13" s="37" t="inlineStr">
        <is>
          <t>1.65x</t>
        </is>
      </c>
      <c r="C13" s="37" t="inlineStr">
        <is>
          <t>2.56x</t>
        </is>
      </c>
      <c r="D13" s="37" t="inlineStr">
        <is>
          <t>2.66x</t>
        </is>
      </c>
      <c r="E13" s="6" t="inlineStr">
        <is>
          <t>Conservative interest coverage</t>
        </is>
      </c>
    </row>
    <row r="14">
      <c r="A14" s="38" t="inlineStr">
        <is>
          <t>Balance Sheet Discrepancy</t>
        </is>
      </c>
      <c r="B14" s="39" t="inlineStr">
        <is>
          <t>0.00</t>
        </is>
      </c>
      <c r="C14" s="39" t="inlineStr">
        <is>
          <t>0.00</t>
        </is>
      </c>
      <c r="D14" s="39" t="inlineStr">
        <is>
          <t>0.00</t>
        </is>
      </c>
      <c r="E14" s="38" t="inlineStr">
        <is>
          <t>Strict double-entry equality</t>
        </is>
      </c>
    </row>
    <row r="15"/>
    <row r="16">
      <c r="A16" s="3" t="inlineStr">
        <is>
          <t>CAPITAL STRUCTURE AND RETURNS (MANAGEMENT CASE)</t>
        </is>
      </c>
    </row>
    <row r="17">
      <c r="A17" s="40" t="inlineStr">
        <is>
          <t>Metric</t>
        </is>
      </c>
      <c r="B17" s="40" t="inlineStr">
        <is>
          <t>Value</t>
        </is>
      </c>
    </row>
    <row r="18">
      <c r="A18" s="6" t="inlineStr">
        <is>
          <t>All-in CapEx (EUR)</t>
        </is>
      </c>
      <c r="B18" s="5" t="inlineStr">
        <is>
          <t>1,050,100.00</t>
        </is>
      </c>
    </row>
    <row r="19">
      <c r="A19" s="6" t="inlineStr">
        <is>
          <t>Senior debt (35% LTV) (EUR)</t>
        </is>
      </c>
      <c r="B19" s="5" t="inlineStr">
        <is>
          <t>367,535.00</t>
        </is>
      </c>
    </row>
    <row r="20">
      <c r="A20" s="6" t="inlineStr">
        <is>
          <t>DSCR-capped principal at 1.25x (EUR)</t>
        </is>
      </c>
      <c r="B20" s="5" t="inlineStr">
        <is>
          <t>339,144.92</t>
        </is>
      </c>
    </row>
    <row r="21">
      <c r="A21" s="6" t="inlineStr">
        <is>
          <t>Cash equity plug (EUR)</t>
        </is>
      </c>
      <c r="B21" s="5" t="inlineStr">
        <is>
          <t>521,090.22</t>
        </is>
      </c>
    </row>
    <row r="22">
      <c r="A22" s="6" t="inlineStr">
        <is>
          <t>Total equity at close (EUR)</t>
        </is>
      </c>
      <c r="B22" s="5" t="inlineStr">
        <is>
          <t>771,090.22</t>
        </is>
      </c>
    </row>
    <row r="23">
      <c r="A23" s="6" t="inlineStr">
        <is>
          <t>Total project investment (EUR)</t>
        </is>
      </c>
      <c r="B23" s="5" t="inlineStr">
        <is>
          <t>1,138,625.22</t>
        </is>
      </c>
    </row>
    <row r="24">
      <c r="A24" s="6" t="inlineStr">
        <is>
          <t>Cash equity / CapEx</t>
        </is>
      </c>
      <c r="B24" s="5" t="inlineStr">
        <is>
          <t>49.62%</t>
        </is>
      </c>
    </row>
    <row r="25">
      <c r="A25" s="6" t="inlineStr">
        <is>
          <t>Project IRR, 8.5% exit</t>
        </is>
      </c>
      <c r="B25" s="5" t="inlineStr">
        <is>
          <t>-9.49%</t>
        </is>
      </c>
    </row>
    <row r="26">
      <c r="A26" s="6" t="inlineStr">
        <is>
          <t>Equity IRR, 8.5% exit</t>
        </is>
      </c>
      <c r="B26" s="5" t="inlineStr">
        <is>
          <t>-23.16%</t>
        </is>
      </c>
    </row>
    <row r="27">
      <c r="A27" s="6" t="inlineStr">
        <is>
          <t>Project IRR, no exit</t>
        </is>
      </c>
      <c r="B27" s="5" t="inlineStr">
        <is>
          <t>-35.43%</t>
        </is>
      </c>
    </row>
    <row r="28">
      <c r="A28" s="6" t="inlineStr">
        <is>
          <t>Equity IRR, no exit</t>
        </is>
      </c>
      <c r="B28" s="5" t="inlineStr">
        <is>
          <t>-47.44%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8"/>
  <sheetViews>
    <sheetView showGridLines="1" workbookViewId="0">
      <selection activeCell="A1" sqref="A1"/>
    </sheetView>
  </sheetViews>
  <sheetFormatPr baseColWidth="8" defaultRowHeight="15"/>
  <cols>
    <col width="42" customWidth="1" min="1" max="1"/>
    <col width="16" customWidth="1" min="2" max="2"/>
    <col width="15" customWidth="1" min="3" max="3"/>
    <col width="16" customWidth="1" min="4" max="4"/>
    <col width="13" customWidth="1" min="5" max="5"/>
    <col width="12" customWidth="1" min="6" max="6"/>
    <col width="15" customWidth="1" min="7" max="7"/>
    <col width="12" customWidth="1" min="8" max="8"/>
    <col width="19" customWidth="1" min="9" max="9"/>
    <col width="12" customWidth="1" min="10" max="10"/>
    <col width="16" customWidth="1" min="11" max="11"/>
    <col width="13" customWidth="1" min="12" max="12"/>
    <col width="12" customWidth="1" min="13" max="13"/>
    <col width="14" customWidth="1" min="14" max="14"/>
    <col width="13" customWidth="1" min="15" max="15"/>
    <col width="14" customWidth="1" min="16" max="16"/>
    <col width="12" customWidth="1" min="17" max="17"/>
    <col width="15" customWidth="1" min="18" max="18"/>
    <col width="13" customWidth="1" min="19" max="19"/>
    <col width="15" customWidth="1" min="20" max="20"/>
    <col width="28" customWidth="1" min="21" max="21"/>
  </cols>
  <sheetData>
    <row r="1">
      <c r="A1" s="1" t="inlineStr">
        <is>
          <t>FIVE-YEAR INTEGRATED FINANCIAL STATEMENTS (P&amp;L, CASH FLOW, BALANCE SHEET)</t>
        </is>
      </c>
    </row>
    <row r="2"/>
    <row r="3">
      <c r="A3" s="36" t="inlineStr">
        <is>
          <t>Year</t>
        </is>
      </c>
      <c r="B3" s="36" t="inlineStr">
        <is>
          <t>Total Revenue</t>
        </is>
      </c>
      <c r="C3" s="36" t="inlineStr">
        <is>
          <t>Gross Margin</t>
        </is>
      </c>
      <c r="D3" s="36" t="inlineStr">
        <is>
          <t>Labor Expense</t>
        </is>
      </c>
      <c r="E3" s="36" t="inlineStr">
        <is>
          <t>Fixed Opex</t>
        </is>
      </c>
      <c r="F3" s="36" t="inlineStr">
        <is>
          <t>Ebitda</t>
        </is>
      </c>
      <c r="G3" s="36" t="inlineStr">
        <is>
          <t>Depreciation</t>
        </is>
      </c>
      <c r="H3" s="36" t="inlineStr">
        <is>
          <t>Ebit</t>
        </is>
      </c>
      <c r="I3" s="36" t="inlineStr">
        <is>
          <t>Interest Expense</t>
        </is>
      </c>
      <c r="J3" s="36" t="inlineStr">
        <is>
          <t>Ebt</t>
        </is>
      </c>
      <c r="K3" s="36" t="inlineStr">
        <is>
          <t>Corporate Tax</t>
        </is>
      </c>
      <c r="L3" s="36" t="inlineStr">
        <is>
          <t>Net Income</t>
        </is>
      </c>
      <c r="M3" s="36" t="inlineStr">
        <is>
          <t>Cfo</t>
        </is>
      </c>
      <c r="N3" s="36" t="inlineStr">
        <is>
          <t>Cfi</t>
        </is>
      </c>
      <c r="O3" s="36" t="inlineStr">
        <is>
          <t>Cff</t>
        </is>
      </c>
      <c r="P3" s="36" t="inlineStr">
        <is>
          <t>Ending Cash</t>
        </is>
      </c>
      <c r="Q3" s="36" t="inlineStr">
        <is>
          <t>Net Ppe</t>
        </is>
      </c>
      <c r="R3" s="36" t="inlineStr">
        <is>
          <t>Total Assets</t>
        </is>
      </c>
      <c r="S3" s="36" t="inlineStr">
        <is>
          <t>Total Debt</t>
        </is>
      </c>
      <c r="T3" s="36" t="inlineStr">
        <is>
          <t>Total Equity</t>
        </is>
      </c>
      <c r="U3" s="36" t="inlineStr">
        <is>
          <t>Balance Sheet Discrepancy</t>
        </is>
      </c>
    </row>
    <row r="4">
      <c r="A4" s="6" t="n">
        <v>1</v>
      </c>
      <c r="B4" s="8" t="n">
        <v>154548</v>
      </c>
      <c r="C4" s="8" t="n">
        <v>114854.92</v>
      </c>
      <c r="D4" s="8" t="n">
        <v>60075</v>
      </c>
      <c r="E4" s="8" t="n">
        <v>30500</v>
      </c>
      <c r="F4" s="8" t="n">
        <v>24279.92</v>
      </c>
      <c r="G4" s="8" t="n">
        <v>45943</v>
      </c>
      <c r="H4" s="8" t="n">
        <v>-21663.08</v>
      </c>
      <c r="I4" s="8" t="n">
        <v>23942.6</v>
      </c>
      <c r="J4" s="8" t="n">
        <v>-45605.68</v>
      </c>
      <c r="K4" s="8" t="n">
        <v>0</v>
      </c>
      <c r="L4" s="8" t="n">
        <v>-45605.68</v>
      </c>
      <c r="M4" s="8" t="n">
        <v>337.32</v>
      </c>
      <c r="N4" s="8" t="n">
        <v>-1061282.66</v>
      </c>
      <c r="O4" s="8" t="n">
        <v>1056646.22</v>
      </c>
      <c r="P4" s="8" t="n">
        <v>20700.88</v>
      </c>
      <c r="Q4" s="8" t="n">
        <v>1025858.4</v>
      </c>
      <c r="R4" s="8" t="n">
        <v>1261040.54</v>
      </c>
      <c r="S4" s="8" t="n">
        <v>367535</v>
      </c>
      <c r="T4" s="8" t="n">
        <v>725484.54</v>
      </c>
      <c r="U4" s="8" t="n">
        <v>0</v>
      </c>
    </row>
    <row r="5">
      <c r="A5" s="6" t="n">
        <v>2</v>
      </c>
      <c r="B5" s="8" t="n">
        <v>171720</v>
      </c>
      <c r="C5" s="8" t="n">
        <v>127616.58</v>
      </c>
      <c r="D5" s="8" t="n">
        <v>60075</v>
      </c>
      <c r="E5" s="8" t="n">
        <v>30500</v>
      </c>
      <c r="F5" s="8" t="n">
        <v>37041.58</v>
      </c>
      <c r="G5" s="8" t="n">
        <v>45943</v>
      </c>
      <c r="H5" s="8" t="n">
        <v>-8901.42</v>
      </c>
      <c r="I5" s="8" t="n">
        <v>19081.98</v>
      </c>
      <c r="J5" s="8" t="n">
        <v>-27983.4</v>
      </c>
      <c r="K5" s="8" t="n">
        <v>0</v>
      </c>
      <c r="L5" s="8" t="n">
        <v>-27983.4</v>
      </c>
      <c r="M5" s="8" t="n">
        <v>17959.6</v>
      </c>
      <c r="N5" s="8" t="n">
        <v>162869.4</v>
      </c>
      <c r="O5" s="8" t="n">
        <v>-18207.24</v>
      </c>
      <c r="P5" s="8" t="n">
        <v>183322.64</v>
      </c>
      <c r="Q5" s="8" t="n">
        <v>986915.4</v>
      </c>
      <c r="R5" s="8" t="n">
        <v>1214849.9</v>
      </c>
      <c r="S5" s="8" t="n">
        <v>354348.76</v>
      </c>
      <c r="T5" s="8" t="n">
        <v>860501.14</v>
      </c>
      <c r="U5" s="8" t="n">
        <v>0</v>
      </c>
    </row>
    <row r="6">
      <c r="A6" s="6" t="n">
        <v>3</v>
      </c>
      <c r="B6" s="8" t="n">
        <v>171720</v>
      </c>
      <c r="C6" s="8" t="n">
        <v>127616.58</v>
      </c>
      <c r="D6" s="8" t="n">
        <v>60075</v>
      </c>
      <c r="E6" s="8" t="n">
        <v>30500</v>
      </c>
      <c r="F6" s="8" t="n">
        <v>37041.58</v>
      </c>
      <c r="G6" s="8" t="n">
        <v>45943</v>
      </c>
      <c r="H6" s="8" t="n">
        <v>-8901.42</v>
      </c>
      <c r="I6" s="8" t="n">
        <v>13924.17</v>
      </c>
      <c r="J6" s="8" t="n">
        <v>-22825.59</v>
      </c>
      <c r="K6" s="8" t="n">
        <v>0</v>
      </c>
      <c r="L6" s="8" t="n">
        <v>-22825.59</v>
      </c>
      <c r="M6" s="8" t="n">
        <v>23117.41</v>
      </c>
      <c r="N6" s="8" t="n">
        <v>-5151.6</v>
      </c>
      <c r="O6" s="8" t="n">
        <v>-13723.47</v>
      </c>
      <c r="P6" s="8" t="n">
        <v>187564.98</v>
      </c>
      <c r="Q6" s="8" t="n">
        <v>947972.4</v>
      </c>
      <c r="R6" s="8" t="n">
        <v>1178300.84</v>
      </c>
      <c r="S6" s="8" t="n">
        <v>340625.29</v>
      </c>
      <c r="T6" s="8" t="n">
        <v>837675.55</v>
      </c>
      <c r="U6" s="8" t="n">
        <v>0</v>
      </c>
    </row>
    <row r="7">
      <c r="A7" s="6" t="n">
        <v>4</v>
      </c>
      <c r="B7" s="8" t="n">
        <v>171720</v>
      </c>
      <c r="C7" s="8" t="n">
        <v>127616.58</v>
      </c>
      <c r="D7" s="8" t="n">
        <v>60075</v>
      </c>
      <c r="E7" s="8" t="n">
        <v>30500</v>
      </c>
      <c r="F7" s="8" t="n">
        <v>37041.58</v>
      </c>
      <c r="G7" s="8" t="n">
        <v>45943</v>
      </c>
      <c r="H7" s="8" t="n">
        <v>-8901.42</v>
      </c>
      <c r="I7" s="8" t="n">
        <v>13365.05</v>
      </c>
      <c r="J7" s="8" t="n">
        <v>-22266.47</v>
      </c>
      <c r="K7" s="8" t="n">
        <v>0</v>
      </c>
      <c r="L7" s="8" t="n">
        <v>-22266.47</v>
      </c>
      <c r="M7" s="8" t="n">
        <v>23676.53</v>
      </c>
      <c r="N7" s="8" t="n">
        <v>-5151.6</v>
      </c>
      <c r="O7" s="8" t="n">
        <v>-14282.59</v>
      </c>
      <c r="P7" s="8" t="n">
        <v>191807.32</v>
      </c>
      <c r="Q7" s="8" t="n">
        <v>909029.4</v>
      </c>
      <c r="R7" s="8" t="n">
        <v>1141751.78</v>
      </c>
      <c r="S7" s="8" t="n">
        <v>326342.7</v>
      </c>
      <c r="T7" s="8" t="n">
        <v>815409.08</v>
      </c>
      <c r="U7" s="8" t="n">
        <v>0</v>
      </c>
    </row>
    <row r="8">
      <c r="A8" s="6" t="n">
        <v>5</v>
      </c>
      <c r="B8" s="8" t="n">
        <v>171720</v>
      </c>
      <c r="C8" s="8" t="n">
        <v>127616.58</v>
      </c>
      <c r="D8" s="8" t="n">
        <v>60075</v>
      </c>
      <c r="E8" s="8" t="n">
        <v>30500</v>
      </c>
      <c r="F8" s="8" t="n">
        <v>37041.58</v>
      </c>
      <c r="G8" s="8" t="n">
        <v>45943</v>
      </c>
      <c r="H8" s="8" t="n">
        <v>-8901.42</v>
      </c>
      <c r="I8" s="8" t="n">
        <v>12783.17</v>
      </c>
      <c r="J8" s="8" t="n">
        <v>-21684.59</v>
      </c>
      <c r="K8" s="8" t="n">
        <v>0</v>
      </c>
      <c r="L8" s="8" t="n">
        <v>-21684.59</v>
      </c>
      <c r="M8" s="8" t="n">
        <v>24258.41</v>
      </c>
      <c r="N8" s="8" t="n">
        <v>-5151.6</v>
      </c>
      <c r="O8" s="8" t="n">
        <v>-14864.47</v>
      </c>
      <c r="P8" s="8" t="n">
        <v>196049.66</v>
      </c>
      <c r="Q8" s="8" t="n">
        <v>870086.4</v>
      </c>
      <c r="R8" s="8" t="n">
        <v>1105202.72</v>
      </c>
      <c r="S8" s="8" t="n">
        <v>311478.23</v>
      </c>
      <c r="T8" s="8" t="n">
        <v>793724.49</v>
      </c>
      <c r="U8" s="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4"/>
  <sheetViews>
    <sheetView showGridLines="0" workbookViewId="0">
      <pane ySplit="24" topLeftCell="A25" activePane="bottomLeft" state="frozen"/>
      <selection pane="bottomLeft"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SENIOR DEBT SCHEDULE - 20 YEARS, 4.0% FIXED, 12-MONTH INTEREST-ONLY GRACE</t>
        </is>
      </c>
    </row>
    <row r="2">
      <c r="A2" s="2" t="inlineStr">
        <is>
          <t>The French payment is computed over the 228 months that remain after the grace period. Each monthly payment is rounded to two decimals, matching the Python debt engine.</t>
        </is>
      </c>
    </row>
    <row r="4">
      <c r="A4" s="5" t="inlineStr">
        <is>
          <t>Principal</t>
        </is>
      </c>
      <c r="B4" s="41">
        <f>Inputs!$B$33</f>
        <v/>
      </c>
    </row>
    <row r="5">
      <c r="A5" s="5" t="inlineStr">
        <is>
          <t>Annual interest rate</t>
        </is>
      </c>
      <c r="B5" s="42">
        <f>Inputs!$B$34</f>
        <v/>
      </c>
    </row>
    <row r="6">
      <c r="A6" s="5" t="inlineStr">
        <is>
          <t>Tenure (years)</t>
        </is>
      </c>
      <c r="B6" s="43">
        <f>Inputs!$B$35</f>
        <v/>
      </c>
    </row>
    <row r="7">
      <c r="A7" s="5" t="inlineStr">
        <is>
          <t>Grace (months)</t>
        </is>
      </c>
      <c r="B7" s="43">
        <f>Inputs!$B$36</f>
        <v/>
      </c>
    </row>
    <row r="8">
      <c r="A8" s="5" t="inlineStr">
        <is>
          <t>Monthly rate</t>
        </is>
      </c>
      <c r="B8" s="44">
        <f>B5/12</f>
        <v/>
      </c>
    </row>
    <row r="9">
      <c r="A9" s="5" t="inlineStr">
        <is>
          <t>Amortisation months</t>
        </is>
      </c>
      <c r="B9" s="43">
        <f>B6*12-B7</f>
        <v/>
      </c>
    </row>
    <row r="10">
      <c r="A10" s="5" t="inlineStr">
        <is>
          <t>Monthly payment</t>
        </is>
      </c>
      <c r="B10" s="41">
        <f>IF(B8&gt;0,B4*B8*(1+B8)^B9/((1+B8)^B9-1),B4/B9)</f>
        <v/>
      </c>
    </row>
    <row r="11">
      <c r="A11" s="5" t="inlineStr">
        <is>
          <t>Annual service (Year 2+)</t>
        </is>
      </c>
      <c r="B11" s="41">
        <f>ROUND(B10,2)*12</f>
        <v/>
      </c>
    </row>
    <row r="12">
      <c r="A12" s="5" t="inlineStr">
        <is>
          <t>Total months</t>
        </is>
      </c>
      <c r="B12" s="43">
        <f>B6*12</f>
        <v/>
      </c>
    </row>
    <row r="14">
      <c r="A14" s="3" t="inlineStr">
        <is>
          <t>ANNUAL SUMMARY (SUMIF OF THE MONTHLY SCHEDULE)</t>
        </is>
      </c>
    </row>
    <row r="15">
      <c r="A15" s="4" t="inlineStr">
        <is>
          <t>Year</t>
        </is>
      </c>
      <c r="B15" s="4" t="inlineStr">
        <is>
          <t>Beginning balance</t>
        </is>
      </c>
      <c r="C15" s="4" t="inlineStr">
        <is>
          <t>Payment</t>
        </is>
      </c>
      <c r="D15" s="4" t="inlineStr">
        <is>
          <t>Principal</t>
        </is>
      </c>
      <c r="E15" s="4" t="inlineStr">
        <is>
          <t>Interest</t>
        </is>
      </c>
      <c r="F15" s="4" t="inlineStr">
        <is>
          <t>Ending balance</t>
        </is>
      </c>
      <c r="G15" s="4" t="inlineStr">
        <is>
          <t>Short-term debt</t>
        </is>
      </c>
      <c r="H15" s="4" t="inlineStr">
        <is>
          <t>Long-term debt</t>
        </is>
      </c>
    </row>
    <row r="16">
      <c r="A16" s="45" t="n">
        <v>1</v>
      </c>
      <c r="B16" s="8">
        <f>$B$4</f>
        <v/>
      </c>
      <c r="C16" s="8">
        <f>SUMIF($B$25:$B$264,$A16,$D$25:$D$264)</f>
        <v/>
      </c>
      <c r="D16" s="8">
        <f>SUMIF($B$25:$B$264,$A16,$E$25:$E$264)</f>
        <v/>
      </c>
      <c r="E16" s="8">
        <f>SUMIF($B$25:$B$264,$A16,$F$25:$F$264)</f>
        <v/>
      </c>
      <c r="F16" s="8">
        <f>B16-D16</f>
        <v/>
      </c>
      <c r="G16" s="8">
        <f>SUMIF($B$25:$B$264,$A16+1,$E$25:$E$264)</f>
        <v/>
      </c>
      <c r="H16" s="8">
        <f>MAX(0,F16-G16)</f>
        <v/>
      </c>
    </row>
    <row r="17">
      <c r="A17" s="45" t="n">
        <v>2</v>
      </c>
      <c r="B17" s="8">
        <f>F16</f>
        <v/>
      </c>
      <c r="C17" s="8">
        <f>SUMIF($B$25:$B$264,$A17,$D$25:$D$264)</f>
        <v/>
      </c>
      <c r="D17" s="8">
        <f>SUMIF($B$25:$B$264,$A17,$E$25:$E$264)</f>
        <v/>
      </c>
      <c r="E17" s="8">
        <f>SUMIF($B$25:$B$264,$A17,$F$25:$F$264)</f>
        <v/>
      </c>
      <c r="F17" s="8">
        <f>B17-D17</f>
        <v/>
      </c>
      <c r="G17" s="8">
        <f>SUMIF($B$25:$B$264,$A17+1,$E$25:$E$264)</f>
        <v/>
      </c>
      <c r="H17" s="8">
        <f>MAX(0,F17-G17)</f>
        <v/>
      </c>
    </row>
    <row r="18">
      <c r="A18" s="45" t="n">
        <v>3</v>
      </c>
      <c r="B18" s="8">
        <f>F17</f>
        <v/>
      </c>
      <c r="C18" s="8">
        <f>SUMIF($B$25:$B$264,$A18,$D$25:$D$264)</f>
        <v/>
      </c>
      <c r="D18" s="8">
        <f>SUMIF($B$25:$B$264,$A18,$E$25:$E$264)</f>
        <v/>
      </c>
      <c r="E18" s="8">
        <f>SUMIF($B$25:$B$264,$A18,$F$25:$F$264)</f>
        <v/>
      </c>
      <c r="F18" s="8">
        <f>B18-D18</f>
        <v/>
      </c>
      <c r="G18" s="8">
        <f>SUMIF($B$25:$B$264,$A18+1,$E$25:$E$264)</f>
        <v/>
      </c>
      <c r="H18" s="8">
        <f>MAX(0,F18-G18)</f>
        <v/>
      </c>
    </row>
    <row r="19">
      <c r="A19" s="45" t="n">
        <v>4</v>
      </c>
      <c r="B19" s="8">
        <f>F18</f>
        <v/>
      </c>
      <c r="C19" s="8">
        <f>SUMIF($B$25:$B$264,$A19,$D$25:$D$264)</f>
        <v/>
      </c>
      <c r="D19" s="8">
        <f>SUMIF($B$25:$B$264,$A19,$E$25:$E$264)</f>
        <v/>
      </c>
      <c r="E19" s="8">
        <f>SUMIF($B$25:$B$264,$A19,$F$25:$F$264)</f>
        <v/>
      </c>
      <c r="F19" s="8">
        <f>B19-D19</f>
        <v/>
      </c>
      <c r="G19" s="8">
        <f>SUMIF($B$25:$B$264,$A19+1,$E$25:$E$264)</f>
        <v/>
      </c>
      <c r="H19" s="8">
        <f>MAX(0,F19-G19)</f>
        <v/>
      </c>
    </row>
    <row r="20">
      <c r="A20" s="45" t="n">
        <v>5</v>
      </c>
      <c r="B20" s="8">
        <f>F19</f>
        <v/>
      </c>
      <c r="C20" s="8">
        <f>SUMIF($B$25:$B$264,$A20,$D$25:$D$264)</f>
        <v/>
      </c>
      <c r="D20" s="8">
        <f>SUMIF($B$25:$B$264,$A20,$E$25:$E$264)</f>
        <v/>
      </c>
      <c r="E20" s="8">
        <f>SUMIF($B$25:$B$264,$A20,$F$25:$F$264)</f>
        <v/>
      </c>
      <c r="F20" s="8">
        <f>B20-D20</f>
        <v/>
      </c>
      <c r="G20" s="8">
        <f>SUMIF($B$25:$B$264,$A20+1,$E$25:$E$264)</f>
        <v/>
      </c>
      <c r="H20" s="8">
        <f>MAX(0,F20-G20)</f>
        <v/>
      </c>
    </row>
    <row r="23">
      <c r="A23" s="3" t="inlineStr">
        <is>
          <t>MONTHLY AMORTISATION SCHEDULE (240 MONTHS)</t>
        </is>
      </c>
    </row>
    <row r="24">
      <c r="A24" s="4" t="inlineStr">
        <is>
          <t>Month</t>
        </is>
      </c>
      <c r="B24" s="4" t="inlineStr">
        <is>
          <t>Year</t>
        </is>
      </c>
      <c r="C24" s="4" t="inlineStr">
        <is>
          <t>Beginning balance</t>
        </is>
      </c>
      <c r="D24" s="4" t="inlineStr">
        <is>
          <t>Payment</t>
        </is>
      </c>
      <c r="E24" s="4" t="inlineStr">
        <is>
          <t>Principal</t>
        </is>
      </c>
      <c r="F24" s="4" t="inlineStr">
        <is>
          <t>Interest</t>
        </is>
      </c>
      <c r="G24" s="4" t="inlineStr">
        <is>
          <t>Ending balance</t>
        </is>
      </c>
    </row>
    <row r="25">
      <c r="A25" s="45" t="n">
        <v>1</v>
      </c>
      <c r="B25" s="45">
        <f>ROUNDUP(A25/12,0)</f>
        <v/>
      </c>
      <c r="C25" s="8">
        <f>$B$4</f>
        <v/>
      </c>
      <c r="D25" s="8">
        <f>IF(A25&lt;=$B$7,F25,IF(OR(A25=$B$12,C25+F25&lt;=ROUND($B$10,2)),C25+F25,ROUND($B$10,2)))</f>
        <v/>
      </c>
      <c r="E25" s="8">
        <f>D25-F25</f>
        <v/>
      </c>
      <c r="F25" s="8">
        <f>ROUND(C25*$B$8,2)</f>
        <v/>
      </c>
      <c r="G25" s="8">
        <f>ROUND(C25-E25,2)</f>
        <v/>
      </c>
    </row>
    <row r="26">
      <c r="A26" s="45">
        <f>A25+1</f>
        <v/>
      </c>
      <c r="B26" s="45">
        <f>ROUNDUP(A26/12,0)</f>
        <v/>
      </c>
      <c r="C26" s="8">
        <f>G25</f>
        <v/>
      </c>
      <c r="D26" s="8">
        <f>IF(A26&lt;=$B$7,F26,IF(OR(A26=$B$12,C26+F26&lt;=ROUND($B$10,2)),C26+F26,ROUND($B$10,2)))</f>
        <v/>
      </c>
      <c r="E26" s="8">
        <f>D26-F26</f>
        <v/>
      </c>
      <c r="F26" s="8">
        <f>ROUND(C26*$B$8,2)</f>
        <v/>
      </c>
      <c r="G26" s="8">
        <f>ROUND(C26-E26,2)</f>
        <v/>
      </c>
    </row>
    <row r="27">
      <c r="A27" s="45">
        <f>A26+1</f>
        <v/>
      </c>
      <c r="B27" s="45">
        <f>ROUNDUP(A27/12,0)</f>
        <v/>
      </c>
      <c r="C27" s="8">
        <f>G26</f>
        <v/>
      </c>
      <c r="D27" s="8">
        <f>IF(A27&lt;=$B$7,F27,IF(OR(A27=$B$12,C27+F27&lt;=ROUND($B$10,2)),C27+F27,ROUND($B$10,2)))</f>
        <v/>
      </c>
      <c r="E27" s="8">
        <f>D27-F27</f>
        <v/>
      </c>
      <c r="F27" s="8">
        <f>ROUND(C27*$B$8,2)</f>
        <v/>
      </c>
      <c r="G27" s="8">
        <f>ROUND(C27-E27,2)</f>
        <v/>
      </c>
    </row>
    <row r="28">
      <c r="A28" s="45">
        <f>A27+1</f>
        <v/>
      </c>
      <c r="B28" s="45">
        <f>ROUNDUP(A28/12,0)</f>
        <v/>
      </c>
      <c r="C28" s="8">
        <f>G27</f>
        <v/>
      </c>
      <c r="D28" s="8">
        <f>IF(A28&lt;=$B$7,F28,IF(OR(A28=$B$12,C28+F28&lt;=ROUND($B$10,2)),C28+F28,ROUND($B$10,2)))</f>
        <v/>
      </c>
      <c r="E28" s="8">
        <f>D28-F28</f>
        <v/>
      </c>
      <c r="F28" s="8">
        <f>ROUND(C28*$B$8,2)</f>
        <v/>
      </c>
      <c r="G28" s="8">
        <f>ROUND(C28-E28,2)</f>
        <v/>
      </c>
    </row>
    <row r="29">
      <c r="A29" s="45">
        <f>A28+1</f>
        <v/>
      </c>
      <c r="B29" s="45">
        <f>ROUNDUP(A29/12,0)</f>
        <v/>
      </c>
      <c r="C29" s="8">
        <f>G28</f>
        <v/>
      </c>
      <c r="D29" s="8">
        <f>IF(A29&lt;=$B$7,F29,IF(OR(A29=$B$12,C29+F29&lt;=ROUND($B$10,2)),C29+F29,ROUND($B$10,2)))</f>
        <v/>
      </c>
      <c r="E29" s="8">
        <f>D29-F29</f>
        <v/>
      </c>
      <c r="F29" s="8">
        <f>ROUND(C29*$B$8,2)</f>
        <v/>
      </c>
      <c r="G29" s="8">
        <f>ROUND(C29-E29,2)</f>
        <v/>
      </c>
    </row>
    <row r="30">
      <c r="A30" s="45">
        <f>A29+1</f>
        <v/>
      </c>
      <c r="B30" s="45">
        <f>ROUNDUP(A30/12,0)</f>
        <v/>
      </c>
      <c r="C30" s="8">
        <f>G29</f>
        <v/>
      </c>
      <c r="D30" s="8">
        <f>IF(A30&lt;=$B$7,F30,IF(OR(A30=$B$12,C30+F30&lt;=ROUND($B$10,2)),C30+F30,ROUND($B$10,2)))</f>
        <v/>
      </c>
      <c r="E30" s="8">
        <f>D30-F30</f>
        <v/>
      </c>
      <c r="F30" s="8">
        <f>ROUND(C30*$B$8,2)</f>
        <v/>
      </c>
      <c r="G30" s="8">
        <f>ROUND(C30-E30,2)</f>
        <v/>
      </c>
    </row>
    <row r="31">
      <c r="A31" s="45">
        <f>A30+1</f>
        <v/>
      </c>
      <c r="B31" s="45">
        <f>ROUNDUP(A31/12,0)</f>
        <v/>
      </c>
      <c r="C31" s="8">
        <f>G30</f>
        <v/>
      </c>
      <c r="D31" s="8">
        <f>IF(A31&lt;=$B$7,F31,IF(OR(A31=$B$12,C31+F31&lt;=ROUND($B$10,2)),C31+F31,ROUND($B$10,2)))</f>
        <v/>
      </c>
      <c r="E31" s="8">
        <f>D31-F31</f>
        <v/>
      </c>
      <c r="F31" s="8">
        <f>ROUND(C31*$B$8,2)</f>
        <v/>
      </c>
      <c r="G31" s="8">
        <f>ROUND(C31-E31,2)</f>
        <v/>
      </c>
    </row>
    <row r="32">
      <c r="A32" s="45">
        <f>A31+1</f>
        <v/>
      </c>
      <c r="B32" s="45">
        <f>ROUNDUP(A32/12,0)</f>
        <v/>
      </c>
      <c r="C32" s="8">
        <f>G31</f>
        <v/>
      </c>
      <c r="D32" s="8">
        <f>IF(A32&lt;=$B$7,F32,IF(OR(A32=$B$12,C32+F32&lt;=ROUND($B$10,2)),C32+F32,ROUND($B$10,2)))</f>
        <v/>
      </c>
      <c r="E32" s="8">
        <f>D32-F32</f>
        <v/>
      </c>
      <c r="F32" s="8">
        <f>ROUND(C32*$B$8,2)</f>
        <v/>
      </c>
      <c r="G32" s="8">
        <f>ROUND(C32-E32,2)</f>
        <v/>
      </c>
    </row>
    <row r="33">
      <c r="A33" s="45">
        <f>A32+1</f>
        <v/>
      </c>
      <c r="B33" s="45">
        <f>ROUNDUP(A33/12,0)</f>
        <v/>
      </c>
      <c r="C33" s="8">
        <f>G32</f>
        <v/>
      </c>
      <c r="D33" s="8">
        <f>IF(A33&lt;=$B$7,F33,IF(OR(A33=$B$12,C33+F33&lt;=ROUND($B$10,2)),C33+F33,ROUND($B$10,2)))</f>
        <v/>
      </c>
      <c r="E33" s="8">
        <f>D33-F33</f>
        <v/>
      </c>
      <c r="F33" s="8">
        <f>ROUND(C33*$B$8,2)</f>
        <v/>
      </c>
      <c r="G33" s="8">
        <f>ROUND(C33-E33,2)</f>
        <v/>
      </c>
    </row>
    <row r="34">
      <c r="A34" s="45">
        <f>A33+1</f>
        <v/>
      </c>
      <c r="B34" s="45">
        <f>ROUNDUP(A34/12,0)</f>
        <v/>
      </c>
      <c r="C34" s="8">
        <f>G33</f>
        <v/>
      </c>
      <c r="D34" s="8">
        <f>IF(A34&lt;=$B$7,F34,IF(OR(A34=$B$12,C34+F34&lt;=ROUND($B$10,2)),C34+F34,ROUND($B$10,2)))</f>
        <v/>
      </c>
      <c r="E34" s="8">
        <f>D34-F34</f>
        <v/>
      </c>
      <c r="F34" s="8">
        <f>ROUND(C34*$B$8,2)</f>
        <v/>
      </c>
      <c r="G34" s="8">
        <f>ROUND(C34-E34,2)</f>
        <v/>
      </c>
    </row>
    <row r="35">
      <c r="A35" s="45">
        <f>A34+1</f>
        <v/>
      </c>
      <c r="B35" s="45">
        <f>ROUNDUP(A35/12,0)</f>
        <v/>
      </c>
      <c r="C35" s="8">
        <f>G34</f>
        <v/>
      </c>
      <c r="D35" s="8">
        <f>IF(A35&lt;=$B$7,F35,IF(OR(A35=$B$12,C35+F35&lt;=ROUND($B$10,2)),C35+F35,ROUND($B$10,2)))</f>
        <v/>
      </c>
      <c r="E35" s="8">
        <f>D35-F35</f>
        <v/>
      </c>
      <c r="F35" s="8">
        <f>ROUND(C35*$B$8,2)</f>
        <v/>
      </c>
      <c r="G35" s="8">
        <f>ROUND(C35-E35,2)</f>
        <v/>
      </c>
    </row>
    <row r="36">
      <c r="A36" s="45">
        <f>A35+1</f>
        <v/>
      </c>
      <c r="B36" s="45">
        <f>ROUNDUP(A36/12,0)</f>
        <v/>
      </c>
      <c r="C36" s="8">
        <f>G35</f>
        <v/>
      </c>
      <c r="D36" s="8">
        <f>IF(A36&lt;=$B$7,F36,IF(OR(A36=$B$12,C36+F36&lt;=ROUND($B$10,2)),C36+F36,ROUND($B$10,2)))</f>
        <v/>
      </c>
      <c r="E36" s="8">
        <f>D36-F36</f>
        <v/>
      </c>
      <c r="F36" s="8">
        <f>ROUND(C36*$B$8,2)</f>
        <v/>
      </c>
      <c r="G36" s="8">
        <f>ROUND(C36-E36,2)</f>
        <v/>
      </c>
    </row>
    <row r="37">
      <c r="A37" s="45">
        <f>A36+1</f>
        <v/>
      </c>
      <c r="B37" s="45">
        <f>ROUNDUP(A37/12,0)</f>
        <v/>
      </c>
      <c r="C37" s="8">
        <f>G36</f>
        <v/>
      </c>
      <c r="D37" s="8">
        <f>IF(A37&lt;=$B$7,F37,IF(OR(A37=$B$12,C37+F37&lt;=ROUND($B$10,2)),C37+F37,ROUND($B$10,2)))</f>
        <v/>
      </c>
      <c r="E37" s="8">
        <f>D37-F37</f>
        <v/>
      </c>
      <c r="F37" s="8">
        <f>ROUND(C37*$B$8,2)</f>
        <v/>
      </c>
      <c r="G37" s="8">
        <f>ROUND(C37-E37,2)</f>
        <v/>
      </c>
    </row>
    <row r="38">
      <c r="A38" s="45">
        <f>A37+1</f>
        <v/>
      </c>
      <c r="B38" s="45">
        <f>ROUNDUP(A38/12,0)</f>
        <v/>
      </c>
      <c r="C38" s="8">
        <f>G37</f>
        <v/>
      </c>
      <c r="D38" s="8">
        <f>IF(A38&lt;=$B$7,F38,IF(OR(A38=$B$12,C38+F38&lt;=ROUND($B$10,2)),C38+F38,ROUND($B$10,2)))</f>
        <v/>
      </c>
      <c r="E38" s="8">
        <f>D38-F38</f>
        <v/>
      </c>
      <c r="F38" s="8">
        <f>ROUND(C38*$B$8,2)</f>
        <v/>
      </c>
      <c r="G38" s="8">
        <f>ROUND(C38-E38,2)</f>
        <v/>
      </c>
    </row>
    <row r="39">
      <c r="A39" s="45">
        <f>A38+1</f>
        <v/>
      </c>
      <c r="B39" s="45">
        <f>ROUNDUP(A39/12,0)</f>
        <v/>
      </c>
      <c r="C39" s="8">
        <f>G38</f>
        <v/>
      </c>
      <c r="D39" s="8">
        <f>IF(A39&lt;=$B$7,F39,IF(OR(A39=$B$12,C39+F39&lt;=ROUND($B$10,2)),C39+F39,ROUND($B$10,2)))</f>
        <v/>
      </c>
      <c r="E39" s="8">
        <f>D39-F39</f>
        <v/>
      </c>
      <c r="F39" s="8">
        <f>ROUND(C39*$B$8,2)</f>
        <v/>
      </c>
      <c r="G39" s="8">
        <f>ROUND(C39-E39,2)</f>
        <v/>
      </c>
    </row>
    <row r="40">
      <c r="A40" s="45">
        <f>A39+1</f>
        <v/>
      </c>
      <c r="B40" s="45">
        <f>ROUNDUP(A40/12,0)</f>
        <v/>
      </c>
      <c r="C40" s="8">
        <f>G39</f>
        <v/>
      </c>
      <c r="D40" s="8">
        <f>IF(A40&lt;=$B$7,F40,IF(OR(A40=$B$12,C40+F40&lt;=ROUND($B$10,2)),C40+F40,ROUND($B$10,2)))</f>
        <v/>
      </c>
      <c r="E40" s="8">
        <f>D40-F40</f>
        <v/>
      </c>
      <c r="F40" s="8">
        <f>ROUND(C40*$B$8,2)</f>
        <v/>
      </c>
      <c r="G40" s="8">
        <f>ROUND(C40-E40,2)</f>
        <v/>
      </c>
    </row>
    <row r="41">
      <c r="A41" s="45">
        <f>A40+1</f>
        <v/>
      </c>
      <c r="B41" s="45">
        <f>ROUNDUP(A41/12,0)</f>
        <v/>
      </c>
      <c r="C41" s="8">
        <f>G40</f>
        <v/>
      </c>
      <c r="D41" s="8">
        <f>IF(A41&lt;=$B$7,F41,IF(OR(A41=$B$12,C41+F41&lt;=ROUND($B$10,2)),C41+F41,ROUND($B$10,2)))</f>
        <v/>
      </c>
      <c r="E41" s="8">
        <f>D41-F41</f>
        <v/>
      </c>
      <c r="F41" s="8">
        <f>ROUND(C41*$B$8,2)</f>
        <v/>
      </c>
      <c r="G41" s="8">
        <f>ROUND(C41-E41,2)</f>
        <v/>
      </c>
    </row>
    <row r="42">
      <c r="A42" s="45">
        <f>A41+1</f>
        <v/>
      </c>
      <c r="B42" s="45">
        <f>ROUNDUP(A42/12,0)</f>
        <v/>
      </c>
      <c r="C42" s="8">
        <f>G41</f>
        <v/>
      </c>
      <c r="D42" s="8">
        <f>IF(A42&lt;=$B$7,F42,IF(OR(A42=$B$12,C42+F42&lt;=ROUND($B$10,2)),C42+F42,ROUND($B$10,2)))</f>
        <v/>
      </c>
      <c r="E42" s="8">
        <f>D42-F42</f>
        <v/>
      </c>
      <c r="F42" s="8">
        <f>ROUND(C42*$B$8,2)</f>
        <v/>
      </c>
      <c r="G42" s="8">
        <f>ROUND(C42-E42,2)</f>
        <v/>
      </c>
    </row>
    <row r="43">
      <c r="A43" s="45">
        <f>A42+1</f>
        <v/>
      </c>
      <c r="B43" s="45">
        <f>ROUNDUP(A43/12,0)</f>
        <v/>
      </c>
      <c r="C43" s="8">
        <f>G42</f>
        <v/>
      </c>
      <c r="D43" s="8">
        <f>IF(A43&lt;=$B$7,F43,IF(OR(A43=$B$12,C43+F43&lt;=ROUND($B$10,2)),C43+F43,ROUND($B$10,2)))</f>
        <v/>
      </c>
      <c r="E43" s="8">
        <f>D43-F43</f>
        <v/>
      </c>
      <c r="F43" s="8">
        <f>ROUND(C43*$B$8,2)</f>
        <v/>
      </c>
      <c r="G43" s="8">
        <f>ROUND(C43-E43,2)</f>
        <v/>
      </c>
    </row>
    <row r="44">
      <c r="A44" s="45">
        <f>A43+1</f>
        <v/>
      </c>
      <c r="B44" s="45">
        <f>ROUNDUP(A44/12,0)</f>
        <v/>
      </c>
      <c r="C44" s="8">
        <f>G43</f>
        <v/>
      </c>
      <c r="D44" s="8">
        <f>IF(A44&lt;=$B$7,F44,IF(OR(A44=$B$12,C44+F44&lt;=ROUND($B$10,2)),C44+F44,ROUND($B$10,2)))</f>
        <v/>
      </c>
      <c r="E44" s="8">
        <f>D44-F44</f>
        <v/>
      </c>
      <c r="F44" s="8">
        <f>ROUND(C44*$B$8,2)</f>
        <v/>
      </c>
      <c r="G44" s="8">
        <f>ROUND(C44-E44,2)</f>
        <v/>
      </c>
    </row>
    <row r="45">
      <c r="A45" s="45">
        <f>A44+1</f>
        <v/>
      </c>
      <c r="B45" s="45">
        <f>ROUNDUP(A45/12,0)</f>
        <v/>
      </c>
      <c r="C45" s="8">
        <f>G44</f>
        <v/>
      </c>
      <c r="D45" s="8">
        <f>IF(A45&lt;=$B$7,F45,IF(OR(A45=$B$12,C45+F45&lt;=ROUND($B$10,2)),C45+F45,ROUND($B$10,2)))</f>
        <v/>
      </c>
      <c r="E45" s="8">
        <f>D45-F45</f>
        <v/>
      </c>
      <c r="F45" s="8">
        <f>ROUND(C45*$B$8,2)</f>
        <v/>
      </c>
      <c r="G45" s="8">
        <f>ROUND(C45-E45,2)</f>
        <v/>
      </c>
    </row>
    <row r="46">
      <c r="A46" s="45">
        <f>A45+1</f>
        <v/>
      </c>
      <c r="B46" s="45">
        <f>ROUNDUP(A46/12,0)</f>
        <v/>
      </c>
      <c r="C46" s="8">
        <f>G45</f>
        <v/>
      </c>
      <c r="D46" s="8">
        <f>IF(A46&lt;=$B$7,F46,IF(OR(A46=$B$12,C46+F46&lt;=ROUND($B$10,2)),C46+F46,ROUND($B$10,2)))</f>
        <v/>
      </c>
      <c r="E46" s="8">
        <f>D46-F46</f>
        <v/>
      </c>
      <c r="F46" s="8">
        <f>ROUND(C46*$B$8,2)</f>
        <v/>
      </c>
      <c r="G46" s="8">
        <f>ROUND(C46-E46,2)</f>
        <v/>
      </c>
    </row>
    <row r="47">
      <c r="A47" s="45">
        <f>A46+1</f>
        <v/>
      </c>
      <c r="B47" s="45">
        <f>ROUNDUP(A47/12,0)</f>
        <v/>
      </c>
      <c r="C47" s="8">
        <f>G46</f>
        <v/>
      </c>
      <c r="D47" s="8">
        <f>IF(A47&lt;=$B$7,F47,IF(OR(A47=$B$12,C47+F47&lt;=ROUND($B$10,2)),C47+F47,ROUND($B$10,2)))</f>
        <v/>
      </c>
      <c r="E47" s="8">
        <f>D47-F47</f>
        <v/>
      </c>
      <c r="F47" s="8">
        <f>ROUND(C47*$B$8,2)</f>
        <v/>
      </c>
      <c r="G47" s="8">
        <f>ROUND(C47-E47,2)</f>
        <v/>
      </c>
    </row>
    <row r="48">
      <c r="A48" s="45">
        <f>A47+1</f>
        <v/>
      </c>
      <c r="B48" s="45">
        <f>ROUNDUP(A48/12,0)</f>
        <v/>
      </c>
      <c r="C48" s="8">
        <f>G47</f>
        <v/>
      </c>
      <c r="D48" s="8">
        <f>IF(A48&lt;=$B$7,F48,IF(OR(A48=$B$12,C48+F48&lt;=ROUND($B$10,2)),C48+F48,ROUND($B$10,2)))</f>
        <v/>
      </c>
      <c r="E48" s="8">
        <f>D48-F48</f>
        <v/>
      </c>
      <c r="F48" s="8">
        <f>ROUND(C48*$B$8,2)</f>
        <v/>
      </c>
      <c r="G48" s="8">
        <f>ROUND(C48-E48,2)</f>
        <v/>
      </c>
    </row>
    <row r="49">
      <c r="A49" s="45">
        <f>A48+1</f>
        <v/>
      </c>
      <c r="B49" s="45">
        <f>ROUNDUP(A49/12,0)</f>
        <v/>
      </c>
      <c r="C49" s="8">
        <f>G48</f>
        <v/>
      </c>
      <c r="D49" s="8">
        <f>IF(A49&lt;=$B$7,F49,IF(OR(A49=$B$12,C49+F49&lt;=ROUND($B$10,2)),C49+F49,ROUND($B$10,2)))</f>
        <v/>
      </c>
      <c r="E49" s="8">
        <f>D49-F49</f>
        <v/>
      </c>
      <c r="F49" s="8">
        <f>ROUND(C49*$B$8,2)</f>
        <v/>
      </c>
      <c r="G49" s="8">
        <f>ROUND(C49-E49,2)</f>
        <v/>
      </c>
    </row>
    <row r="50">
      <c r="A50" s="45">
        <f>A49+1</f>
        <v/>
      </c>
      <c r="B50" s="45">
        <f>ROUNDUP(A50/12,0)</f>
        <v/>
      </c>
      <c r="C50" s="8">
        <f>G49</f>
        <v/>
      </c>
      <c r="D50" s="8">
        <f>IF(A50&lt;=$B$7,F50,IF(OR(A50=$B$12,C50+F50&lt;=ROUND($B$10,2)),C50+F50,ROUND($B$10,2)))</f>
        <v/>
      </c>
      <c r="E50" s="8">
        <f>D50-F50</f>
        <v/>
      </c>
      <c r="F50" s="8">
        <f>ROUND(C50*$B$8,2)</f>
        <v/>
      </c>
      <c r="G50" s="8">
        <f>ROUND(C50-E50,2)</f>
        <v/>
      </c>
    </row>
    <row r="51">
      <c r="A51" s="45">
        <f>A50+1</f>
        <v/>
      </c>
      <c r="B51" s="45">
        <f>ROUNDUP(A51/12,0)</f>
        <v/>
      </c>
      <c r="C51" s="8">
        <f>G50</f>
        <v/>
      </c>
      <c r="D51" s="8">
        <f>IF(A51&lt;=$B$7,F51,IF(OR(A51=$B$12,C51+F51&lt;=ROUND($B$10,2)),C51+F51,ROUND($B$10,2)))</f>
        <v/>
      </c>
      <c r="E51" s="8">
        <f>D51-F51</f>
        <v/>
      </c>
      <c r="F51" s="8">
        <f>ROUND(C51*$B$8,2)</f>
        <v/>
      </c>
      <c r="G51" s="8">
        <f>ROUND(C51-E51,2)</f>
        <v/>
      </c>
    </row>
    <row r="52">
      <c r="A52" s="45">
        <f>A51+1</f>
        <v/>
      </c>
      <c r="B52" s="45">
        <f>ROUNDUP(A52/12,0)</f>
        <v/>
      </c>
      <c r="C52" s="8">
        <f>G51</f>
        <v/>
      </c>
      <c r="D52" s="8">
        <f>IF(A52&lt;=$B$7,F52,IF(OR(A52=$B$12,C52+F52&lt;=ROUND($B$10,2)),C52+F52,ROUND($B$10,2)))</f>
        <v/>
      </c>
      <c r="E52" s="8">
        <f>D52-F52</f>
        <v/>
      </c>
      <c r="F52" s="8">
        <f>ROUND(C52*$B$8,2)</f>
        <v/>
      </c>
      <c r="G52" s="8">
        <f>ROUND(C52-E52,2)</f>
        <v/>
      </c>
    </row>
    <row r="53">
      <c r="A53" s="45">
        <f>A52+1</f>
        <v/>
      </c>
      <c r="B53" s="45">
        <f>ROUNDUP(A53/12,0)</f>
        <v/>
      </c>
      <c r="C53" s="8">
        <f>G52</f>
        <v/>
      </c>
      <c r="D53" s="8">
        <f>IF(A53&lt;=$B$7,F53,IF(OR(A53=$B$12,C53+F53&lt;=ROUND($B$10,2)),C53+F53,ROUND($B$10,2)))</f>
        <v/>
      </c>
      <c r="E53" s="8">
        <f>D53-F53</f>
        <v/>
      </c>
      <c r="F53" s="8">
        <f>ROUND(C53*$B$8,2)</f>
        <v/>
      </c>
      <c r="G53" s="8">
        <f>ROUND(C53-E53,2)</f>
        <v/>
      </c>
    </row>
    <row r="54">
      <c r="A54" s="45">
        <f>A53+1</f>
        <v/>
      </c>
      <c r="B54" s="45">
        <f>ROUNDUP(A54/12,0)</f>
        <v/>
      </c>
      <c r="C54" s="8">
        <f>G53</f>
        <v/>
      </c>
      <c r="D54" s="8">
        <f>IF(A54&lt;=$B$7,F54,IF(OR(A54=$B$12,C54+F54&lt;=ROUND($B$10,2)),C54+F54,ROUND($B$10,2)))</f>
        <v/>
      </c>
      <c r="E54" s="8">
        <f>D54-F54</f>
        <v/>
      </c>
      <c r="F54" s="8">
        <f>ROUND(C54*$B$8,2)</f>
        <v/>
      </c>
      <c r="G54" s="8">
        <f>ROUND(C54-E54,2)</f>
        <v/>
      </c>
    </row>
    <row r="55">
      <c r="A55" s="45">
        <f>A54+1</f>
        <v/>
      </c>
      <c r="B55" s="45">
        <f>ROUNDUP(A55/12,0)</f>
        <v/>
      </c>
      <c r="C55" s="8">
        <f>G54</f>
        <v/>
      </c>
      <c r="D55" s="8">
        <f>IF(A55&lt;=$B$7,F55,IF(OR(A55=$B$12,C55+F55&lt;=ROUND($B$10,2)),C55+F55,ROUND($B$10,2)))</f>
        <v/>
      </c>
      <c r="E55" s="8">
        <f>D55-F55</f>
        <v/>
      </c>
      <c r="F55" s="8">
        <f>ROUND(C55*$B$8,2)</f>
        <v/>
      </c>
      <c r="G55" s="8">
        <f>ROUND(C55-E55,2)</f>
        <v/>
      </c>
    </row>
    <row r="56">
      <c r="A56" s="45">
        <f>A55+1</f>
        <v/>
      </c>
      <c r="B56" s="45">
        <f>ROUNDUP(A56/12,0)</f>
        <v/>
      </c>
      <c r="C56" s="8">
        <f>G55</f>
        <v/>
      </c>
      <c r="D56" s="8">
        <f>IF(A56&lt;=$B$7,F56,IF(OR(A56=$B$12,C56+F56&lt;=ROUND($B$10,2)),C56+F56,ROUND($B$10,2)))</f>
        <v/>
      </c>
      <c r="E56" s="8">
        <f>D56-F56</f>
        <v/>
      </c>
      <c r="F56" s="8">
        <f>ROUND(C56*$B$8,2)</f>
        <v/>
      </c>
      <c r="G56" s="8">
        <f>ROUND(C56-E56,2)</f>
        <v/>
      </c>
    </row>
    <row r="57">
      <c r="A57" s="45">
        <f>A56+1</f>
        <v/>
      </c>
      <c r="B57" s="45">
        <f>ROUNDUP(A57/12,0)</f>
        <v/>
      </c>
      <c r="C57" s="8">
        <f>G56</f>
        <v/>
      </c>
      <c r="D57" s="8">
        <f>IF(A57&lt;=$B$7,F57,IF(OR(A57=$B$12,C57+F57&lt;=ROUND($B$10,2)),C57+F57,ROUND($B$10,2)))</f>
        <v/>
      </c>
      <c r="E57" s="8">
        <f>D57-F57</f>
        <v/>
      </c>
      <c r="F57" s="8">
        <f>ROUND(C57*$B$8,2)</f>
        <v/>
      </c>
      <c r="G57" s="8">
        <f>ROUND(C57-E57,2)</f>
        <v/>
      </c>
    </row>
    <row r="58">
      <c r="A58" s="45">
        <f>A57+1</f>
        <v/>
      </c>
      <c r="B58" s="45">
        <f>ROUNDUP(A58/12,0)</f>
        <v/>
      </c>
      <c r="C58" s="8">
        <f>G57</f>
        <v/>
      </c>
      <c r="D58" s="8">
        <f>IF(A58&lt;=$B$7,F58,IF(OR(A58=$B$12,C58+F58&lt;=ROUND($B$10,2)),C58+F58,ROUND($B$10,2)))</f>
        <v/>
      </c>
      <c r="E58" s="8">
        <f>D58-F58</f>
        <v/>
      </c>
      <c r="F58" s="8">
        <f>ROUND(C58*$B$8,2)</f>
        <v/>
      </c>
      <c r="G58" s="8">
        <f>ROUND(C58-E58,2)</f>
        <v/>
      </c>
    </row>
    <row r="59">
      <c r="A59" s="45">
        <f>A58+1</f>
        <v/>
      </c>
      <c r="B59" s="45">
        <f>ROUNDUP(A59/12,0)</f>
        <v/>
      </c>
      <c r="C59" s="8">
        <f>G58</f>
        <v/>
      </c>
      <c r="D59" s="8">
        <f>IF(A59&lt;=$B$7,F59,IF(OR(A59=$B$12,C59+F59&lt;=ROUND($B$10,2)),C59+F59,ROUND($B$10,2)))</f>
        <v/>
      </c>
      <c r="E59" s="8">
        <f>D59-F59</f>
        <v/>
      </c>
      <c r="F59" s="8">
        <f>ROUND(C59*$B$8,2)</f>
        <v/>
      </c>
      <c r="G59" s="8">
        <f>ROUND(C59-E59,2)</f>
        <v/>
      </c>
    </row>
    <row r="60">
      <c r="A60" s="45">
        <f>A59+1</f>
        <v/>
      </c>
      <c r="B60" s="45">
        <f>ROUNDUP(A60/12,0)</f>
        <v/>
      </c>
      <c r="C60" s="8">
        <f>G59</f>
        <v/>
      </c>
      <c r="D60" s="8">
        <f>IF(A60&lt;=$B$7,F60,IF(OR(A60=$B$12,C60+F60&lt;=ROUND($B$10,2)),C60+F60,ROUND($B$10,2)))</f>
        <v/>
      </c>
      <c r="E60" s="8">
        <f>D60-F60</f>
        <v/>
      </c>
      <c r="F60" s="8">
        <f>ROUND(C60*$B$8,2)</f>
        <v/>
      </c>
      <c r="G60" s="8">
        <f>ROUND(C60-E60,2)</f>
        <v/>
      </c>
    </row>
    <row r="61">
      <c r="A61" s="45">
        <f>A60+1</f>
        <v/>
      </c>
      <c r="B61" s="45">
        <f>ROUNDUP(A61/12,0)</f>
        <v/>
      </c>
      <c r="C61" s="8">
        <f>G60</f>
        <v/>
      </c>
      <c r="D61" s="8">
        <f>IF(A61&lt;=$B$7,F61,IF(OR(A61=$B$12,C61+F61&lt;=ROUND($B$10,2)),C61+F61,ROUND($B$10,2)))</f>
        <v/>
      </c>
      <c r="E61" s="8">
        <f>D61-F61</f>
        <v/>
      </c>
      <c r="F61" s="8">
        <f>ROUND(C61*$B$8,2)</f>
        <v/>
      </c>
      <c r="G61" s="8">
        <f>ROUND(C61-E61,2)</f>
        <v/>
      </c>
    </row>
    <row r="62">
      <c r="A62" s="45">
        <f>A61+1</f>
        <v/>
      </c>
      <c r="B62" s="45">
        <f>ROUNDUP(A62/12,0)</f>
        <v/>
      </c>
      <c r="C62" s="8">
        <f>G61</f>
        <v/>
      </c>
      <c r="D62" s="8">
        <f>IF(A62&lt;=$B$7,F62,IF(OR(A62=$B$12,C62+F62&lt;=ROUND($B$10,2)),C62+F62,ROUND($B$10,2)))</f>
        <v/>
      </c>
      <c r="E62" s="8">
        <f>D62-F62</f>
        <v/>
      </c>
      <c r="F62" s="8">
        <f>ROUND(C62*$B$8,2)</f>
        <v/>
      </c>
      <c r="G62" s="8">
        <f>ROUND(C62-E62,2)</f>
        <v/>
      </c>
    </row>
    <row r="63">
      <c r="A63" s="45">
        <f>A62+1</f>
        <v/>
      </c>
      <c r="B63" s="45">
        <f>ROUNDUP(A63/12,0)</f>
        <v/>
      </c>
      <c r="C63" s="8">
        <f>G62</f>
        <v/>
      </c>
      <c r="D63" s="8">
        <f>IF(A63&lt;=$B$7,F63,IF(OR(A63=$B$12,C63+F63&lt;=ROUND($B$10,2)),C63+F63,ROUND($B$10,2)))</f>
        <v/>
      </c>
      <c r="E63" s="8">
        <f>D63-F63</f>
        <v/>
      </c>
      <c r="F63" s="8">
        <f>ROUND(C63*$B$8,2)</f>
        <v/>
      </c>
      <c r="G63" s="8">
        <f>ROUND(C63-E63,2)</f>
        <v/>
      </c>
    </row>
    <row r="64">
      <c r="A64" s="45">
        <f>A63+1</f>
        <v/>
      </c>
      <c r="B64" s="45">
        <f>ROUNDUP(A64/12,0)</f>
        <v/>
      </c>
      <c r="C64" s="8">
        <f>G63</f>
        <v/>
      </c>
      <c r="D64" s="8">
        <f>IF(A64&lt;=$B$7,F64,IF(OR(A64=$B$12,C64+F64&lt;=ROUND($B$10,2)),C64+F64,ROUND($B$10,2)))</f>
        <v/>
      </c>
      <c r="E64" s="8">
        <f>D64-F64</f>
        <v/>
      </c>
      <c r="F64" s="8">
        <f>ROUND(C64*$B$8,2)</f>
        <v/>
      </c>
      <c r="G64" s="8">
        <f>ROUND(C64-E64,2)</f>
        <v/>
      </c>
    </row>
    <row r="65">
      <c r="A65" s="45">
        <f>A64+1</f>
        <v/>
      </c>
      <c r="B65" s="45">
        <f>ROUNDUP(A65/12,0)</f>
        <v/>
      </c>
      <c r="C65" s="8">
        <f>G64</f>
        <v/>
      </c>
      <c r="D65" s="8">
        <f>IF(A65&lt;=$B$7,F65,IF(OR(A65=$B$12,C65+F65&lt;=ROUND($B$10,2)),C65+F65,ROUND($B$10,2)))</f>
        <v/>
      </c>
      <c r="E65" s="8">
        <f>D65-F65</f>
        <v/>
      </c>
      <c r="F65" s="8">
        <f>ROUND(C65*$B$8,2)</f>
        <v/>
      </c>
      <c r="G65" s="8">
        <f>ROUND(C65-E65,2)</f>
        <v/>
      </c>
    </row>
    <row r="66">
      <c r="A66" s="45">
        <f>A65+1</f>
        <v/>
      </c>
      <c r="B66" s="45">
        <f>ROUNDUP(A66/12,0)</f>
        <v/>
      </c>
      <c r="C66" s="8">
        <f>G65</f>
        <v/>
      </c>
      <c r="D66" s="8">
        <f>IF(A66&lt;=$B$7,F66,IF(OR(A66=$B$12,C66+F66&lt;=ROUND($B$10,2)),C66+F66,ROUND($B$10,2)))</f>
        <v/>
      </c>
      <c r="E66" s="8">
        <f>D66-F66</f>
        <v/>
      </c>
      <c r="F66" s="8">
        <f>ROUND(C66*$B$8,2)</f>
        <v/>
      </c>
      <c r="G66" s="8">
        <f>ROUND(C66-E66,2)</f>
        <v/>
      </c>
    </row>
    <row r="67">
      <c r="A67" s="45">
        <f>A66+1</f>
        <v/>
      </c>
      <c r="B67" s="45">
        <f>ROUNDUP(A67/12,0)</f>
        <v/>
      </c>
      <c r="C67" s="8">
        <f>G66</f>
        <v/>
      </c>
      <c r="D67" s="8">
        <f>IF(A67&lt;=$B$7,F67,IF(OR(A67=$B$12,C67+F67&lt;=ROUND($B$10,2)),C67+F67,ROUND($B$10,2)))</f>
        <v/>
      </c>
      <c r="E67" s="8">
        <f>D67-F67</f>
        <v/>
      </c>
      <c r="F67" s="8">
        <f>ROUND(C67*$B$8,2)</f>
        <v/>
      </c>
      <c r="G67" s="8">
        <f>ROUND(C67-E67,2)</f>
        <v/>
      </c>
    </row>
    <row r="68">
      <c r="A68" s="45">
        <f>A67+1</f>
        <v/>
      </c>
      <c r="B68" s="45">
        <f>ROUNDUP(A68/12,0)</f>
        <v/>
      </c>
      <c r="C68" s="8">
        <f>G67</f>
        <v/>
      </c>
      <c r="D68" s="8">
        <f>IF(A68&lt;=$B$7,F68,IF(OR(A68=$B$12,C68+F68&lt;=ROUND($B$10,2)),C68+F68,ROUND($B$10,2)))</f>
        <v/>
      </c>
      <c r="E68" s="8">
        <f>D68-F68</f>
        <v/>
      </c>
      <c r="F68" s="8">
        <f>ROUND(C68*$B$8,2)</f>
        <v/>
      </c>
      <c r="G68" s="8">
        <f>ROUND(C68-E68,2)</f>
        <v/>
      </c>
    </row>
    <row r="69">
      <c r="A69" s="45">
        <f>A68+1</f>
        <v/>
      </c>
      <c r="B69" s="45">
        <f>ROUNDUP(A69/12,0)</f>
        <v/>
      </c>
      <c r="C69" s="8">
        <f>G68</f>
        <v/>
      </c>
      <c r="D69" s="8">
        <f>IF(A69&lt;=$B$7,F69,IF(OR(A69=$B$12,C69+F69&lt;=ROUND($B$10,2)),C69+F69,ROUND($B$10,2)))</f>
        <v/>
      </c>
      <c r="E69" s="8">
        <f>D69-F69</f>
        <v/>
      </c>
      <c r="F69" s="8">
        <f>ROUND(C69*$B$8,2)</f>
        <v/>
      </c>
      <c r="G69" s="8">
        <f>ROUND(C69-E69,2)</f>
        <v/>
      </c>
    </row>
    <row r="70">
      <c r="A70" s="45">
        <f>A69+1</f>
        <v/>
      </c>
      <c r="B70" s="45">
        <f>ROUNDUP(A70/12,0)</f>
        <v/>
      </c>
      <c r="C70" s="8">
        <f>G69</f>
        <v/>
      </c>
      <c r="D70" s="8">
        <f>IF(A70&lt;=$B$7,F70,IF(OR(A70=$B$12,C70+F70&lt;=ROUND($B$10,2)),C70+F70,ROUND($B$10,2)))</f>
        <v/>
      </c>
      <c r="E70" s="8">
        <f>D70-F70</f>
        <v/>
      </c>
      <c r="F70" s="8">
        <f>ROUND(C70*$B$8,2)</f>
        <v/>
      </c>
      <c r="G70" s="8">
        <f>ROUND(C70-E70,2)</f>
        <v/>
      </c>
    </row>
    <row r="71">
      <c r="A71" s="45">
        <f>A70+1</f>
        <v/>
      </c>
      <c r="B71" s="45">
        <f>ROUNDUP(A71/12,0)</f>
        <v/>
      </c>
      <c r="C71" s="8">
        <f>G70</f>
        <v/>
      </c>
      <c r="D71" s="8">
        <f>IF(A71&lt;=$B$7,F71,IF(OR(A71=$B$12,C71+F71&lt;=ROUND($B$10,2)),C71+F71,ROUND($B$10,2)))</f>
        <v/>
      </c>
      <c r="E71" s="8">
        <f>D71-F71</f>
        <v/>
      </c>
      <c r="F71" s="8">
        <f>ROUND(C71*$B$8,2)</f>
        <v/>
      </c>
      <c r="G71" s="8">
        <f>ROUND(C71-E71,2)</f>
        <v/>
      </c>
    </row>
    <row r="72">
      <c r="A72" s="45">
        <f>A71+1</f>
        <v/>
      </c>
      <c r="B72" s="45">
        <f>ROUNDUP(A72/12,0)</f>
        <v/>
      </c>
      <c r="C72" s="8">
        <f>G71</f>
        <v/>
      </c>
      <c r="D72" s="8">
        <f>IF(A72&lt;=$B$7,F72,IF(OR(A72=$B$12,C72+F72&lt;=ROUND($B$10,2)),C72+F72,ROUND($B$10,2)))</f>
        <v/>
      </c>
      <c r="E72" s="8">
        <f>D72-F72</f>
        <v/>
      </c>
      <c r="F72" s="8">
        <f>ROUND(C72*$B$8,2)</f>
        <v/>
      </c>
      <c r="G72" s="8">
        <f>ROUND(C72-E72,2)</f>
        <v/>
      </c>
    </row>
    <row r="73">
      <c r="A73" s="45">
        <f>A72+1</f>
        <v/>
      </c>
      <c r="B73" s="45">
        <f>ROUNDUP(A73/12,0)</f>
        <v/>
      </c>
      <c r="C73" s="8">
        <f>G72</f>
        <v/>
      </c>
      <c r="D73" s="8">
        <f>IF(A73&lt;=$B$7,F73,IF(OR(A73=$B$12,C73+F73&lt;=ROUND($B$10,2)),C73+F73,ROUND($B$10,2)))</f>
        <v/>
      </c>
      <c r="E73" s="8">
        <f>D73-F73</f>
        <v/>
      </c>
      <c r="F73" s="8">
        <f>ROUND(C73*$B$8,2)</f>
        <v/>
      </c>
      <c r="G73" s="8">
        <f>ROUND(C73-E73,2)</f>
        <v/>
      </c>
    </row>
    <row r="74">
      <c r="A74" s="45">
        <f>A73+1</f>
        <v/>
      </c>
      <c r="B74" s="45">
        <f>ROUNDUP(A74/12,0)</f>
        <v/>
      </c>
      <c r="C74" s="8">
        <f>G73</f>
        <v/>
      </c>
      <c r="D74" s="8">
        <f>IF(A74&lt;=$B$7,F74,IF(OR(A74=$B$12,C74+F74&lt;=ROUND($B$10,2)),C74+F74,ROUND($B$10,2)))</f>
        <v/>
      </c>
      <c r="E74" s="8">
        <f>D74-F74</f>
        <v/>
      </c>
      <c r="F74" s="8">
        <f>ROUND(C74*$B$8,2)</f>
        <v/>
      </c>
      <c r="G74" s="8">
        <f>ROUND(C74-E74,2)</f>
        <v/>
      </c>
    </row>
    <row r="75">
      <c r="A75" s="45">
        <f>A74+1</f>
        <v/>
      </c>
      <c r="B75" s="45">
        <f>ROUNDUP(A75/12,0)</f>
        <v/>
      </c>
      <c r="C75" s="8">
        <f>G74</f>
        <v/>
      </c>
      <c r="D75" s="8">
        <f>IF(A75&lt;=$B$7,F75,IF(OR(A75=$B$12,C75+F75&lt;=ROUND($B$10,2)),C75+F75,ROUND($B$10,2)))</f>
        <v/>
      </c>
      <c r="E75" s="8">
        <f>D75-F75</f>
        <v/>
      </c>
      <c r="F75" s="8">
        <f>ROUND(C75*$B$8,2)</f>
        <v/>
      </c>
      <c r="G75" s="8">
        <f>ROUND(C75-E75,2)</f>
        <v/>
      </c>
    </row>
    <row r="76">
      <c r="A76" s="45">
        <f>A75+1</f>
        <v/>
      </c>
      <c r="B76" s="45">
        <f>ROUNDUP(A76/12,0)</f>
        <v/>
      </c>
      <c r="C76" s="8">
        <f>G75</f>
        <v/>
      </c>
      <c r="D76" s="8">
        <f>IF(A76&lt;=$B$7,F76,IF(OR(A76=$B$12,C76+F76&lt;=ROUND($B$10,2)),C76+F76,ROUND($B$10,2)))</f>
        <v/>
      </c>
      <c r="E76" s="8">
        <f>D76-F76</f>
        <v/>
      </c>
      <c r="F76" s="8">
        <f>ROUND(C76*$B$8,2)</f>
        <v/>
      </c>
      <c r="G76" s="8">
        <f>ROUND(C76-E76,2)</f>
        <v/>
      </c>
    </row>
    <row r="77">
      <c r="A77" s="45">
        <f>A76+1</f>
        <v/>
      </c>
      <c r="B77" s="45">
        <f>ROUNDUP(A77/12,0)</f>
        <v/>
      </c>
      <c r="C77" s="8">
        <f>G76</f>
        <v/>
      </c>
      <c r="D77" s="8">
        <f>IF(A77&lt;=$B$7,F77,IF(OR(A77=$B$12,C77+F77&lt;=ROUND($B$10,2)),C77+F77,ROUND($B$10,2)))</f>
        <v/>
      </c>
      <c r="E77" s="8">
        <f>D77-F77</f>
        <v/>
      </c>
      <c r="F77" s="8">
        <f>ROUND(C77*$B$8,2)</f>
        <v/>
      </c>
      <c r="G77" s="8">
        <f>ROUND(C77-E77,2)</f>
        <v/>
      </c>
    </row>
    <row r="78">
      <c r="A78" s="45">
        <f>A77+1</f>
        <v/>
      </c>
      <c r="B78" s="45">
        <f>ROUNDUP(A78/12,0)</f>
        <v/>
      </c>
      <c r="C78" s="8">
        <f>G77</f>
        <v/>
      </c>
      <c r="D78" s="8">
        <f>IF(A78&lt;=$B$7,F78,IF(OR(A78=$B$12,C78+F78&lt;=ROUND($B$10,2)),C78+F78,ROUND($B$10,2)))</f>
        <v/>
      </c>
      <c r="E78" s="8">
        <f>D78-F78</f>
        <v/>
      </c>
      <c r="F78" s="8">
        <f>ROUND(C78*$B$8,2)</f>
        <v/>
      </c>
      <c r="G78" s="8">
        <f>ROUND(C78-E78,2)</f>
        <v/>
      </c>
    </row>
    <row r="79">
      <c r="A79" s="45">
        <f>A78+1</f>
        <v/>
      </c>
      <c r="B79" s="45">
        <f>ROUNDUP(A79/12,0)</f>
        <v/>
      </c>
      <c r="C79" s="8">
        <f>G78</f>
        <v/>
      </c>
      <c r="D79" s="8">
        <f>IF(A79&lt;=$B$7,F79,IF(OR(A79=$B$12,C79+F79&lt;=ROUND($B$10,2)),C79+F79,ROUND($B$10,2)))</f>
        <v/>
      </c>
      <c r="E79" s="8">
        <f>D79-F79</f>
        <v/>
      </c>
      <c r="F79" s="8">
        <f>ROUND(C79*$B$8,2)</f>
        <v/>
      </c>
      <c r="G79" s="8">
        <f>ROUND(C79-E79,2)</f>
        <v/>
      </c>
    </row>
    <row r="80">
      <c r="A80" s="45">
        <f>A79+1</f>
        <v/>
      </c>
      <c r="B80" s="45">
        <f>ROUNDUP(A80/12,0)</f>
        <v/>
      </c>
      <c r="C80" s="8">
        <f>G79</f>
        <v/>
      </c>
      <c r="D80" s="8">
        <f>IF(A80&lt;=$B$7,F80,IF(OR(A80=$B$12,C80+F80&lt;=ROUND($B$10,2)),C80+F80,ROUND($B$10,2)))</f>
        <v/>
      </c>
      <c r="E80" s="8">
        <f>D80-F80</f>
        <v/>
      </c>
      <c r="F80" s="8">
        <f>ROUND(C80*$B$8,2)</f>
        <v/>
      </c>
      <c r="G80" s="8">
        <f>ROUND(C80-E80,2)</f>
        <v/>
      </c>
    </row>
    <row r="81">
      <c r="A81" s="45">
        <f>A80+1</f>
        <v/>
      </c>
      <c r="B81" s="45">
        <f>ROUNDUP(A81/12,0)</f>
        <v/>
      </c>
      <c r="C81" s="8">
        <f>G80</f>
        <v/>
      </c>
      <c r="D81" s="8">
        <f>IF(A81&lt;=$B$7,F81,IF(OR(A81=$B$12,C81+F81&lt;=ROUND($B$10,2)),C81+F81,ROUND($B$10,2)))</f>
        <v/>
      </c>
      <c r="E81" s="8">
        <f>D81-F81</f>
        <v/>
      </c>
      <c r="F81" s="8">
        <f>ROUND(C81*$B$8,2)</f>
        <v/>
      </c>
      <c r="G81" s="8">
        <f>ROUND(C81-E81,2)</f>
        <v/>
      </c>
    </row>
    <row r="82">
      <c r="A82" s="45">
        <f>A81+1</f>
        <v/>
      </c>
      <c r="B82" s="45">
        <f>ROUNDUP(A82/12,0)</f>
        <v/>
      </c>
      <c r="C82" s="8">
        <f>G81</f>
        <v/>
      </c>
      <c r="D82" s="8">
        <f>IF(A82&lt;=$B$7,F82,IF(OR(A82=$B$12,C82+F82&lt;=ROUND($B$10,2)),C82+F82,ROUND($B$10,2)))</f>
        <v/>
      </c>
      <c r="E82" s="8">
        <f>D82-F82</f>
        <v/>
      </c>
      <c r="F82" s="8">
        <f>ROUND(C82*$B$8,2)</f>
        <v/>
      </c>
      <c r="G82" s="8">
        <f>ROUND(C82-E82,2)</f>
        <v/>
      </c>
    </row>
    <row r="83">
      <c r="A83" s="45">
        <f>A82+1</f>
        <v/>
      </c>
      <c r="B83" s="45">
        <f>ROUNDUP(A83/12,0)</f>
        <v/>
      </c>
      <c r="C83" s="8">
        <f>G82</f>
        <v/>
      </c>
      <c r="D83" s="8">
        <f>IF(A83&lt;=$B$7,F83,IF(OR(A83=$B$12,C83+F83&lt;=ROUND($B$10,2)),C83+F83,ROUND($B$10,2)))</f>
        <v/>
      </c>
      <c r="E83" s="8">
        <f>D83-F83</f>
        <v/>
      </c>
      <c r="F83" s="8">
        <f>ROUND(C83*$B$8,2)</f>
        <v/>
      </c>
      <c r="G83" s="8">
        <f>ROUND(C83-E83,2)</f>
        <v/>
      </c>
    </row>
    <row r="84">
      <c r="A84" s="45">
        <f>A83+1</f>
        <v/>
      </c>
      <c r="B84" s="45">
        <f>ROUNDUP(A84/12,0)</f>
        <v/>
      </c>
      <c r="C84" s="8">
        <f>G83</f>
        <v/>
      </c>
      <c r="D84" s="8">
        <f>IF(A84&lt;=$B$7,F84,IF(OR(A84=$B$12,C84+F84&lt;=ROUND($B$10,2)),C84+F84,ROUND($B$10,2)))</f>
        <v/>
      </c>
      <c r="E84" s="8">
        <f>D84-F84</f>
        <v/>
      </c>
      <c r="F84" s="8">
        <f>ROUND(C84*$B$8,2)</f>
        <v/>
      </c>
      <c r="G84" s="8">
        <f>ROUND(C84-E84,2)</f>
        <v/>
      </c>
    </row>
    <row r="85">
      <c r="A85" s="45">
        <f>A84+1</f>
        <v/>
      </c>
      <c r="B85" s="45">
        <f>ROUNDUP(A85/12,0)</f>
        <v/>
      </c>
      <c r="C85" s="8">
        <f>G84</f>
        <v/>
      </c>
      <c r="D85" s="8">
        <f>IF(A85&lt;=$B$7,F85,IF(OR(A85=$B$12,C85+F85&lt;=ROUND($B$10,2)),C85+F85,ROUND($B$10,2)))</f>
        <v/>
      </c>
      <c r="E85" s="8">
        <f>D85-F85</f>
        <v/>
      </c>
      <c r="F85" s="8">
        <f>ROUND(C85*$B$8,2)</f>
        <v/>
      </c>
      <c r="G85" s="8">
        <f>ROUND(C85-E85,2)</f>
        <v/>
      </c>
    </row>
    <row r="86">
      <c r="A86" s="45">
        <f>A85+1</f>
        <v/>
      </c>
      <c r="B86" s="45">
        <f>ROUNDUP(A86/12,0)</f>
        <v/>
      </c>
      <c r="C86" s="8">
        <f>G85</f>
        <v/>
      </c>
      <c r="D86" s="8">
        <f>IF(A86&lt;=$B$7,F86,IF(OR(A86=$B$12,C86+F86&lt;=ROUND($B$10,2)),C86+F86,ROUND($B$10,2)))</f>
        <v/>
      </c>
      <c r="E86" s="8">
        <f>D86-F86</f>
        <v/>
      </c>
      <c r="F86" s="8">
        <f>ROUND(C86*$B$8,2)</f>
        <v/>
      </c>
      <c r="G86" s="8">
        <f>ROUND(C86-E86,2)</f>
        <v/>
      </c>
    </row>
    <row r="87">
      <c r="A87" s="45">
        <f>A86+1</f>
        <v/>
      </c>
      <c r="B87" s="45">
        <f>ROUNDUP(A87/12,0)</f>
        <v/>
      </c>
      <c r="C87" s="8">
        <f>G86</f>
        <v/>
      </c>
      <c r="D87" s="8">
        <f>IF(A87&lt;=$B$7,F87,IF(OR(A87=$B$12,C87+F87&lt;=ROUND($B$10,2)),C87+F87,ROUND($B$10,2)))</f>
        <v/>
      </c>
      <c r="E87" s="8">
        <f>D87-F87</f>
        <v/>
      </c>
      <c r="F87" s="8">
        <f>ROUND(C87*$B$8,2)</f>
        <v/>
      </c>
      <c r="G87" s="8">
        <f>ROUND(C87-E87,2)</f>
        <v/>
      </c>
    </row>
    <row r="88">
      <c r="A88" s="45">
        <f>A87+1</f>
        <v/>
      </c>
      <c r="B88" s="45">
        <f>ROUNDUP(A88/12,0)</f>
        <v/>
      </c>
      <c r="C88" s="8">
        <f>G87</f>
        <v/>
      </c>
      <c r="D88" s="8">
        <f>IF(A88&lt;=$B$7,F88,IF(OR(A88=$B$12,C88+F88&lt;=ROUND($B$10,2)),C88+F88,ROUND($B$10,2)))</f>
        <v/>
      </c>
      <c r="E88" s="8">
        <f>D88-F88</f>
        <v/>
      </c>
      <c r="F88" s="8">
        <f>ROUND(C88*$B$8,2)</f>
        <v/>
      </c>
      <c r="G88" s="8">
        <f>ROUND(C88-E88,2)</f>
        <v/>
      </c>
    </row>
    <row r="89">
      <c r="A89" s="45">
        <f>A88+1</f>
        <v/>
      </c>
      <c r="B89" s="45">
        <f>ROUNDUP(A89/12,0)</f>
        <v/>
      </c>
      <c r="C89" s="8">
        <f>G88</f>
        <v/>
      </c>
      <c r="D89" s="8">
        <f>IF(A89&lt;=$B$7,F89,IF(OR(A89=$B$12,C89+F89&lt;=ROUND($B$10,2)),C89+F89,ROUND($B$10,2)))</f>
        <v/>
      </c>
      <c r="E89" s="8">
        <f>D89-F89</f>
        <v/>
      </c>
      <c r="F89" s="8">
        <f>ROUND(C89*$B$8,2)</f>
        <v/>
      </c>
      <c r="G89" s="8">
        <f>ROUND(C89-E89,2)</f>
        <v/>
      </c>
    </row>
    <row r="90">
      <c r="A90" s="45">
        <f>A89+1</f>
        <v/>
      </c>
      <c r="B90" s="45">
        <f>ROUNDUP(A90/12,0)</f>
        <v/>
      </c>
      <c r="C90" s="8">
        <f>G89</f>
        <v/>
      </c>
      <c r="D90" s="8">
        <f>IF(A90&lt;=$B$7,F90,IF(OR(A90=$B$12,C90+F90&lt;=ROUND($B$10,2)),C90+F90,ROUND($B$10,2)))</f>
        <v/>
      </c>
      <c r="E90" s="8">
        <f>D90-F90</f>
        <v/>
      </c>
      <c r="F90" s="8">
        <f>ROUND(C90*$B$8,2)</f>
        <v/>
      </c>
      <c r="G90" s="8">
        <f>ROUND(C90-E90,2)</f>
        <v/>
      </c>
    </row>
    <row r="91">
      <c r="A91" s="45">
        <f>A90+1</f>
        <v/>
      </c>
      <c r="B91" s="45">
        <f>ROUNDUP(A91/12,0)</f>
        <v/>
      </c>
      <c r="C91" s="8">
        <f>G90</f>
        <v/>
      </c>
      <c r="D91" s="8">
        <f>IF(A91&lt;=$B$7,F91,IF(OR(A91=$B$12,C91+F91&lt;=ROUND($B$10,2)),C91+F91,ROUND($B$10,2)))</f>
        <v/>
      </c>
      <c r="E91" s="8">
        <f>D91-F91</f>
        <v/>
      </c>
      <c r="F91" s="8">
        <f>ROUND(C91*$B$8,2)</f>
        <v/>
      </c>
      <c r="G91" s="8">
        <f>ROUND(C91-E91,2)</f>
        <v/>
      </c>
    </row>
    <row r="92">
      <c r="A92" s="45">
        <f>A91+1</f>
        <v/>
      </c>
      <c r="B92" s="45">
        <f>ROUNDUP(A92/12,0)</f>
        <v/>
      </c>
      <c r="C92" s="8">
        <f>G91</f>
        <v/>
      </c>
      <c r="D92" s="8">
        <f>IF(A92&lt;=$B$7,F92,IF(OR(A92=$B$12,C92+F92&lt;=ROUND($B$10,2)),C92+F92,ROUND($B$10,2)))</f>
        <v/>
      </c>
      <c r="E92" s="8">
        <f>D92-F92</f>
        <v/>
      </c>
      <c r="F92" s="8">
        <f>ROUND(C92*$B$8,2)</f>
        <v/>
      </c>
      <c r="G92" s="8">
        <f>ROUND(C92-E92,2)</f>
        <v/>
      </c>
    </row>
    <row r="93">
      <c r="A93" s="45">
        <f>A92+1</f>
        <v/>
      </c>
      <c r="B93" s="45">
        <f>ROUNDUP(A93/12,0)</f>
        <v/>
      </c>
      <c r="C93" s="8">
        <f>G92</f>
        <v/>
      </c>
      <c r="D93" s="8">
        <f>IF(A93&lt;=$B$7,F93,IF(OR(A93=$B$12,C93+F93&lt;=ROUND($B$10,2)),C93+F93,ROUND($B$10,2)))</f>
        <v/>
      </c>
      <c r="E93" s="8">
        <f>D93-F93</f>
        <v/>
      </c>
      <c r="F93" s="8">
        <f>ROUND(C93*$B$8,2)</f>
        <v/>
      </c>
      <c r="G93" s="8">
        <f>ROUND(C93-E93,2)</f>
        <v/>
      </c>
    </row>
    <row r="94">
      <c r="A94" s="45">
        <f>A93+1</f>
        <v/>
      </c>
      <c r="B94" s="45">
        <f>ROUNDUP(A94/12,0)</f>
        <v/>
      </c>
      <c r="C94" s="8">
        <f>G93</f>
        <v/>
      </c>
      <c r="D94" s="8">
        <f>IF(A94&lt;=$B$7,F94,IF(OR(A94=$B$12,C94+F94&lt;=ROUND($B$10,2)),C94+F94,ROUND($B$10,2)))</f>
        <v/>
      </c>
      <c r="E94" s="8">
        <f>D94-F94</f>
        <v/>
      </c>
      <c r="F94" s="8">
        <f>ROUND(C94*$B$8,2)</f>
        <v/>
      </c>
      <c r="G94" s="8">
        <f>ROUND(C94-E94,2)</f>
        <v/>
      </c>
    </row>
    <row r="95">
      <c r="A95" s="45">
        <f>A94+1</f>
        <v/>
      </c>
      <c r="B95" s="45">
        <f>ROUNDUP(A95/12,0)</f>
        <v/>
      </c>
      <c r="C95" s="8">
        <f>G94</f>
        <v/>
      </c>
      <c r="D95" s="8">
        <f>IF(A95&lt;=$B$7,F95,IF(OR(A95=$B$12,C95+F95&lt;=ROUND($B$10,2)),C95+F95,ROUND($B$10,2)))</f>
        <v/>
      </c>
      <c r="E95" s="8">
        <f>D95-F95</f>
        <v/>
      </c>
      <c r="F95" s="8">
        <f>ROUND(C95*$B$8,2)</f>
        <v/>
      </c>
      <c r="G95" s="8">
        <f>ROUND(C95-E95,2)</f>
        <v/>
      </c>
    </row>
    <row r="96">
      <c r="A96" s="45">
        <f>A95+1</f>
        <v/>
      </c>
      <c r="B96" s="45">
        <f>ROUNDUP(A96/12,0)</f>
        <v/>
      </c>
      <c r="C96" s="8">
        <f>G95</f>
        <v/>
      </c>
      <c r="D96" s="8">
        <f>IF(A96&lt;=$B$7,F96,IF(OR(A96=$B$12,C96+F96&lt;=ROUND($B$10,2)),C96+F96,ROUND($B$10,2)))</f>
        <v/>
      </c>
      <c r="E96" s="8">
        <f>D96-F96</f>
        <v/>
      </c>
      <c r="F96" s="8">
        <f>ROUND(C96*$B$8,2)</f>
        <v/>
      </c>
      <c r="G96" s="8">
        <f>ROUND(C96-E96,2)</f>
        <v/>
      </c>
    </row>
    <row r="97">
      <c r="A97" s="45">
        <f>A96+1</f>
        <v/>
      </c>
      <c r="B97" s="45">
        <f>ROUNDUP(A97/12,0)</f>
        <v/>
      </c>
      <c r="C97" s="8">
        <f>G96</f>
        <v/>
      </c>
      <c r="D97" s="8">
        <f>IF(A97&lt;=$B$7,F97,IF(OR(A97=$B$12,C97+F97&lt;=ROUND($B$10,2)),C97+F97,ROUND($B$10,2)))</f>
        <v/>
      </c>
      <c r="E97" s="8">
        <f>D97-F97</f>
        <v/>
      </c>
      <c r="F97" s="8">
        <f>ROUND(C97*$B$8,2)</f>
        <v/>
      </c>
      <c r="G97" s="8">
        <f>ROUND(C97-E97,2)</f>
        <v/>
      </c>
    </row>
    <row r="98">
      <c r="A98" s="45">
        <f>A97+1</f>
        <v/>
      </c>
      <c r="B98" s="45">
        <f>ROUNDUP(A98/12,0)</f>
        <v/>
      </c>
      <c r="C98" s="8">
        <f>G97</f>
        <v/>
      </c>
      <c r="D98" s="8">
        <f>IF(A98&lt;=$B$7,F98,IF(OR(A98=$B$12,C98+F98&lt;=ROUND($B$10,2)),C98+F98,ROUND($B$10,2)))</f>
        <v/>
      </c>
      <c r="E98" s="8">
        <f>D98-F98</f>
        <v/>
      </c>
      <c r="F98" s="8">
        <f>ROUND(C98*$B$8,2)</f>
        <v/>
      </c>
      <c r="G98" s="8">
        <f>ROUND(C98-E98,2)</f>
        <v/>
      </c>
    </row>
    <row r="99">
      <c r="A99" s="45">
        <f>A98+1</f>
        <v/>
      </c>
      <c r="B99" s="45">
        <f>ROUNDUP(A99/12,0)</f>
        <v/>
      </c>
      <c r="C99" s="8">
        <f>G98</f>
        <v/>
      </c>
      <c r="D99" s="8">
        <f>IF(A99&lt;=$B$7,F99,IF(OR(A99=$B$12,C99+F99&lt;=ROUND($B$10,2)),C99+F99,ROUND($B$10,2)))</f>
        <v/>
      </c>
      <c r="E99" s="8">
        <f>D99-F99</f>
        <v/>
      </c>
      <c r="F99" s="8">
        <f>ROUND(C99*$B$8,2)</f>
        <v/>
      </c>
      <c r="G99" s="8">
        <f>ROUND(C99-E99,2)</f>
        <v/>
      </c>
    </row>
    <row r="100">
      <c r="A100" s="45">
        <f>A99+1</f>
        <v/>
      </c>
      <c r="B100" s="45">
        <f>ROUNDUP(A100/12,0)</f>
        <v/>
      </c>
      <c r="C100" s="8">
        <f>G99</f>
        <v/>
      </c>
      <c r="D100" s="8">
        <f>IF(A100&lt;=$B$7,F100,IF(OR(A100=$B$12,C100+F100&lt;=ROUND($B$10,2)),C100+F100,ROUND($B$10,2)))</f>
        <v/>
      </c>
      <c r="E100" s="8">
        <f>D100-F100</f>
        <v/>
      </c>
      <c r="F100" s="8">
        <f>ROUND(C100*$B$8,2)</f>
        <v/>
      </c>
      <c r="G100" s="8">
        <f>ROUND(C100-E100,2)</f>
        <v/>
      </c>
    </row>
    <row r="101">
      <c r="A101" s="45">
        <f>A100+1</f>
        <v/>
      </c>
      <c r="B101" s="45">
        <f>ROUNDUP(A101/12,0)</f>
        <v/>
      </c>
      <c r="C101" s="8">
        <f>G100</f>
        <v/>
      </c>
      <c r="D101" s="8">
        <f>IF(A101&lt;=$B$7,F101,IF(OR(A101=$B$12,C101+F101&lt;=ROUND($B$10,2)),C101+F101,ROUND($B$10,2)))</f>
        <v/>
      </c>
      <c r="E101" s="8">
        <f>D101-F101</f>
        <v/>
      </c>
      <c r="F101" s="8">
        <f>ROUND(C101*$B$8,2)</f>
        <v/>
      </c>
      <c r="G101" s="8">
        <f>ROUND(C101-E101,2)</f>
        <v/>
      </c>
    </row>
    <row r="102">
      <c r="A102" s="45">
        <f>A101+1</f>
        <v/>
      </c>
      <c r="B102" s="45">
        <f>ROUNDUP(A102/12,0)</f>
        <v/>
      </c>
      <c r="C102" s="8">
        <f>G101</f>
        <v/>
      </c>
      <c r="D102" s="8">
        <f>IF(A102&lt;=$B$7,F102,IF(OR(A102=$B$12,C102+F102&lt;=ROUND($B$10,2)),C102+F102,ROUND($B$10,2)))</f>
        <v/>
      </c>
      <c r="E102" s="8">
        <f>D102-F102</f>
        <v/>
      </c>
      <c r="F102" s="8">
        <f>ROUND(C102*$B$8,2)</f>
        <v/>
      </c>
      <c r="G102" s="8">
        <f>ROUND(C102-E102,2)</f>
        <v/>
      </c>
    </row>
    <row r="103">
      <c r="A103" s="45">
        <f>A102+1</f>
        <v/>
      </c>
      <c r="B103" s="45">
        <f>ROUNDUP(A103/12,0)</f>
        <v/>
      </c>
      <c r="C103" s="8">
        <f>G102</f>
        <v/>
      </c>
      <c r="D103" s="8">
        <f>IF(A103&lt;=$B$7,F103,IF(OR(A103=$B$12,C103+F103&lt;=ROUND($B$10,2)),C103+F103,ROUND($B$10,2)))</f>
        <v/>
      </c>
      <c r="E103" s="8">
        <f>D103-F103</f>
        <v/>
      </c>
      <c r="F103" s="8">
        <f>ROUND(C103*$B$8,2)</f>
        <v/>
      </c>
      <c r="G103" s="8">
        <f>ROUND(C103-E103,2)</f>
        <v/>
      </c>
    </row>
    <row r="104">
      <c r="A104" s="45">
        <f>A103+1</f>
        <v/>
      </c>
      <c r="B104" s="45">
        <f>ROUNDUP(A104/12,0)</f>
        <v/>
      </c>
      <c r="C104" s="8">
        <f>G103</f>
        <v/>
      </c>
      <c r="D104" s="8">
        <f>IF(A104&lt;=$B$7,F104,IF(OR(A104=$B$12,C104+F104&lt;=ROUND($B$10,2)),C104+F104,ROUND($B$10,2)))</f>
        <v/>
      </c>
      <c r="E104" s="8">
        <f>D104-F104</f>
        <v/>
      </c>
      <c r="F104" s="8">
        <f>ROUND(C104*$B$8,2)</f>
        <v/>
      </c>
      <c r="G104" s="8">
        <f>ROUND(C104-E104,2)</f>
        <v/>
      </c>
    </row>
    <row r="105">
      <c r="A105" s="45">
        <f>A104+1</f>
        <v/>
      </c>
      <c r="B105" s="45">
        <f>ROUNDUP(A105/12,0)</f>
        <v/>
      </c>
      <c r="C105" s="8">
        <f>G104</f>
        <v/>
      </c>
      <c r="D105" s="8">
        <f>IF(A105&lt;=$B$7,F105,IF(OR(A105=$B$12,C105+F105&lt;=ROUND($B$10,2)),C105+F105,ROUND($B$10,2)))</f>
        <v/>
      </c>
      <c r="E105" s="8">
        <f>D105-F105</f>
        <v/>
      </c>
      <c r="F105" s="8">
        <f>ROUND(C105*$B$8,2)</f>
        <v/>
      </c>
      <c r="G105" s="8">
        <f>ROUND(C105-E105,2)</f>
        <v/>
      </c>
    </row>
    <row r="106">
      <c r="A106" s="45">
        <f>A105+1</f>
        <v/>
      </c>
      <c r="B106" s="45">
        <f>ROUNDUP(A106/12,0)</f>
        <v/>
      </c>
      <c r="C106" s="8">
        <f>G105</f>
        <v/>
      </c>
      <c r="D106" s="8">
        <f>IF(A106&lt;=$B$7,F106,IF(OR(A106=$B$12,C106+F106&lt;=ROUND($B$10,2)),C106+F106,ROUND($B$10,2)))</f>
        <v/>
      </c>
      <c r="E106" s="8">
        <f>D106-F106</f>
        <v/>
      </c>
      <c r="F106" s="8">
        <f>ROUND(C106*$B$8,2)</f>
        <v/>
      </c>
      <c r="G106" s="8">
        <f>ROUND(C106-E106,2)</f>
        <v/>
      </c>
    </row>
    <row r="107">
      <c r="A107" s="45">
        <f>A106+1</f>
        <v/>
      </c>
      <c r="B107" s="45">
        <f>ROUNDUP(A107/12,0)</f>
        <v/>
      </c>
      <c r="C107" s="8">
        <f>G106</f>
        <v/>
      </c>
      <c r="D107" s="8">
        <f>IF(A107&lt;=$B$7,F107,IF(OR(A107=$B$12,C107+F107&lt;=ROUND($B$10,2)),C107+F107,ROUND($B$10,2)))</f>
        <v/>
      </c>
      <c r="E107" s="8">
        <f>D107-F107</f>
        <v/>
      </c>
      <c r="F107" s="8">
        <f>ROUND(C107*$B$8,2)</f>
        <v/>
      </c>
      <c r="G107" s="8">
        <f>ROUND(C107-E107,2)</f>
        <v/>
      </c>
    </row>
    <row r="108">
      <c r="A108" s="45">
        <f>A107+1</f>
        <v/>
      </c>
      <c r="B108" s="45">
        <f>ROUNDUP(A108/12,0)</f>
        <v/>
      </c>
      <c r="C108" s="8">
        <f>G107</f>
        <v/>
      </c>
      <c r="D108" s="8">
        <f>IF(A108&lt;=$B$7,F108,IF(OR(A108=$B$12,C108+F108&lt;=ROUND($B$10,2)),C108+F108,ROUND($B$10,2)))</f>
        <v/>
      </c>
      <c r="E108" s="8">
        <f>D108-F108</f>
        <v/>
      </c>
      <c r="F108" s="8">
        <f>ROUND(C108*$B$8,2)</f>
        <v/>
      </c>
      <c r="G108" s="8">
        <f>ROUND(C108-E108,2)</f>
        <v/>
      </c>
    </row>
    <row r="109">
      <c r="A109" s="45">
        <f>A108+1</f>
        <v/>
      </c>
      <c r="B109" s="45">
        <f>ROUNDUP(A109/12,0)</f>
        <v/>
      </c>
      <c r="C109" s="8">
        <f>G108</f>
        <v/>
      </c>
      <c r="D109" s="8">
        <f>IF(A109&lt;=$B$7,F109,IF(OR(A109=$B$12,C109+F109&lt;=ROUND($B$10,2)),C109+F109,ROUND($B$10,2)))</f>
        <v/>
      </c>
      <c r="E109" s="8">
        <f>D109-F109</f>
        <v/>
      </c>
      <c r="F109" s="8">
        <f>ROUND(C109*$B$8,2)</f>
        <v/>
      </c>
      <c r="G109" s="8">
        <f>ROUND(C109-E109,2)</f>
        <v/>
      </c>
    </row>
    <row r="110">
      <c r="A110" s="45">
        <f>A109+1</f>
        <v/>
      </c>
      <c r="B110" s="45">
        <f>ROUNDUP(A110/12,0)</f>
        <v/>
      </c>
      <c r="C110" s="8">
        <f>G109</f>
        <v/>
      </c>
      <c r="D110" s="8">
        <f>IF(A110&lt;=$B$7,F110,IF(OR(A110=$B$12,C110+F110&lt;=ROUND($B$10,2)),C110+F110,ROUND($B$10,2)))</f>
        <v/>
      </c>
      <c r="E110" s="8">
        <f>D110-F110</f>
        <v/>
      </c>
      <c r="F110" s="8">
        <f>ROUND(C110*$B$8,2)</f>
        <v/>
      </c>
      <c r="G110" s="8">
        <f>ROUND(C110-E110,2)</f>
        <v/>
      </c>
    </row>
    <row r="111">
      <c r="A111" s="45">
        <f>A110+1</f>
        <v/>
      </c>
      <c r="B111" s="45">
        <f>ROUNDUP(A111/12,0)</f>
        <v/>
      </c>
      <c r="C111" s="8">
        <f>G110</f>
        <v/>
      </c>
      <c r="D111" s="8">
        <f>IF(A111&lt;=$B$7,F111,IF(OR(A111=$B$12,C111+F111&lt;=ROUND($B$10,2)),C111+F111,ROUND($B$10,2)))</f>
        <v/>
      </c>
      <c r="E111" s="8">
        <f>D111-F111</f>
        <v/>
      </c>
      <c r="F111" s="8">
        <f>ROUND(C111*$B$8,2)</f>
        <v/>
      </c>
      <c r="G111" s="8">
        <f>ROUND(C111-E111,2)</f>
        <v/>
      </c>
    </row>
    <row r="112">
      <c r="A112" s="45">
        <f>A111+1</f>
        <v/>
      </c>
      <c r="B112" s="45">
        <f>ROUNDUP(A112/12,0)</f>
        <v/>
      </c>
      <c r="C112" s="8">
        <f>G111</f>
        <v/>
      </c>
      <c r="D112" s="8">
        <f>IF(A112&lt;=$B$7,F112,IF(OR(A112=$B$12,C112+F112&lt;=ROUND($B$10,2)),C112+F112,ROUND($B$10,2)))</f>
        <v/>
      </c>
      <c r="E112" s="8">
        <f>D112-F112</f>
        <v/>
      </c>
      <c r="F112" s="8">
        <f>ROUND(C112*$B$8,2)</f>
        <v/>
      </c>
      <c r="G112" s="8">
        <f>ROUND(C112-E112,2)</f>
        <v/>
      </c>
    </row>
    <row r="113">
      <c r="A113" s="45">
        <f>A112+1</f>
        <v/>
      </c>
      <c r="B113" s="45">
        <f>ROUNDUP(A113/12,0)</f>
        <v/>
      </c>
      <c r="C113" s="8">
        <f>G112</f>
        <v/>
      </c>
      <c r="D113" s="8">
        <f>IF(A113&lt;=$B$7,F113,IF(OR(A113=$B$12,C113+F113&lt;=ROUND($B$10,2)),C113+F113,ROUND($B$10,2)))</f>
        <v/>
      </c>
      <c r="E113" s="8">
        <f>D113-F113</f>
        <v/>
      </c>
      <c r="F113" s="8">
        <f>ROUND(C113*$B$8,2)</f>
        <v/>
      </c>
      <c r="G113" s="8">
        <f>ROUND(C113-E113,2)</f>
        <v/>
      </c>
    </row>
    <row r="114">
      <c r="A114" s="45">
        <f>A113+1</f>
        <v/>
      </c>
      <c r="B114" s="45">
        <f>ROUNDUP(A114/12,0)</f>
        <v/>
      </c>
      <c r="C114" s="8">
        <f>G113</f>
        <v/>
      </c>
      <c r="D114" s="8">
        <f>IF(A114&lt;=$B$7,F114,IF(OR(A114=$B$12,C114+F114&lt;=ROUND($B$10,2)),C114+F114,ROUND($B$10,2)))</f>
        <v/>
      </c>
      <c r="E114" s="8">
        <f>D114-F114</f>
        <v/>
      </c>
      <c r="F114" s="8">
        <f>ROUND(C114*$B$8,2)</f>
        <v/>
      </c>
      <c r="G114" s="8">
        <f>ROUND(C114-E114,2)</f>
        <v/>
      </c>
    </row>
    <row r="115">
      <c r="A115" s="45">
        <f>A114+1</f>
        <v/>
      </c>
      <c r="B115" s="45">
        <f>ROUNDUP(A115/12,0)</f>
        <v/>
      </c>
      <c r="C115" s="8">
        <f>G114</f>
        <v/>
      </c>
      <c r="D115" s="8">
        <f>IF(A115&lt;=$B$7,F115,IF(OR(A115=$B$12,C115+F115&lt;=ROUND($B$10,2)),C115+F115,ROUND($B$10,2)))</f>
        <v/>
      </c>
      <c r="E115" s="8">
        <f>D115-F115</f>
        <v/>
      </c>
      <c r="F115" s="8">
        <f>ROUND(C115*$B$8,2)</f>
        <v/>
      </c>
      <c r="G115" s="8">
        <f>ROUND(C115-E115,2)</f>
        <v/>
      </c>
    </row>
    <row r="116">
      <c r="A116" s="45">
        <f>A115+1</f>
        <v/>
      </c>
      <c r="B116" s="45">
        <f>ROUNDUP(A116/12,0)</f>
        <v/>
      </c>
      <c r="C116" s="8">
        <f>G115</f>
        <v/>
      </c>
      <c r="D116" s="8">
        <f>IF(A116&lt;=$B$7,F116,IF(OR(A116=$B$12,C116+F116&lt;=ROUND($B$10,2)),C116+F116,ROUND($B$10,2)))</f>
        <v/>
      </c>
      <c r="E116" s="8">
        <f>D116-F116</f>
        <v/>
      </c>
      <c r="F116" s="8">
        <f>ROUND(C116*$B$8,2)</f>
        <v/>
      </c>
      <c r="G116" s="8">
        <f>ROUND(C116-E116,2)</f>
        <v/>
      </c>
    </row>
    <row r="117">
      <c r="A117" s="45">
        <f>A116+1</f>
        <v/>
      </c>
      <c r="B117" s="45">
        <f>ROUNDUP(A117/12,0)</f>
        <v/>
      </c>
      <c r="C117" s="8">
        <f>G116</f>
        <v/>
      </c>
      <c r="D117" s="8">
        <f>IF(A117&lt;=$B$7,F117,IF(OR(A117=$B$12,C117+F117&lt;=ROUND($B$10,2)),C117+F117,ROUND($B$10,2)))</f>
        <v/>
      </c>
      <c r="E117" s="8">
        <f>D117-F117</f>
        <v/>
      </c>
      <c r="F117" s="8">
        <f>ROUND(C117*$B$8,2)</f>
        <v/>
      </c>
      <c r="G117" s="8">
        <f>ROUND(C117-E117,2)</f>
        <v/>
      </c>
    </row>
    <row r="118">
      <c r="A118" s="45">
        <f>A117+1</f>
        <v/>
      </c>
      <c r="B118" s="45">
        <f>ROUNDUP(A118/12,0)</f>
        <v/>
      </c>
      <c r="C118" s="8">
        <f>G117</f>
        <v/>
      </c>
      <c r="D118" s="8">
        <f>IF(A118&lt;=$B$7,F118,IF(OR(A118=$B$12,C118+F118&lt;=ROUND($B$10,2)),C118+F118,ROUND($B$10,2)))</f>
        <v/>
      </c>
      <c r="E118" s="8">
        <f>D118-F118</f>
        <v/>
      </c>
      <c r="F118" s="8">
        <f>ROUND(C118*$B$8,2)</f>
        <v/>
      </c>
      <c r="G118" s="8">
        <f>ROUND(C118-E118,2)</f>
        <v/>
      </c>
    </row>
    <row r="119">
      <c r="A119" s="45">
        <f>A118+1</f>
        <v/>
      </c>
      <c r="B119" s="45">
        <f>ROUNDUP(A119/12,0)</f>
        <v/>
      </c>
      <c r="C119" s="8">
        <f>G118</f>
        <v/>
      </c>
      <c r="D119" s="8">
        <f>IF(A119&lt;=$B$7,F119,IF(OR(A119=$B$12,C119+F119&lt;=ROUND($B$10,2)),C119+F119,ROUND($B$10,2)))</f>
        <v/>
      </c>
      <c r="E119" s="8">
        <f>D119-F119</f>
        <v/>
      </c>
      <c r="F119" s="8">
        <f>ROUND(C119*$B$8,2)</f>
        <v/>
      </c>
      <c r="G119" s="8">
        <f>ROUND(C119-E119,2)</f>
        <v/>
      </c>
    </row>
    <row r="120">
      <c r="A120" s="45">
        <f>A119+1</f>
        <v/>
      </c>
      <c r="B120" s="45">
        <f>ROUNDUP(A120/12,0)</f>
        <v/>
      </c>
      <c r="C120" s="8">
        <f>G119</f>
        <v/>
      </c>
      <c r="D120" s="8">
        <f>IF(A120&lt;=$B$7,F120,IF(OR(A120=$B$12,C120+F120&lt;=ROUND($B$10,2)),C120+F120,ROUND($B$10,2)))</f>
        <v/>
      </c>
      <c r="E120" s="8">
        <f>D120-F120</f>
        <v/>
      </c>
      <c r="F120" s="8">
        <f>ROUND(C120*$B$8,2)</f>
        <v/>
      </c>
      <c r="G120" s="8">
        <f>ROUND(C120-E120,2)</f>
        <v/>
      </c>
    </row>
    <row r="121">
      <c r="A121" s="45">
        <f>A120+1</f>
        <v/>
      </c>
      <c r="B121" s="45">
        <f>ROUNDUP(A121/12,0)</f>
        <v/>
      </c>
      <c r="C121" s="8">
        <f>G120</f>
        <v/>
      </c>
      <c r="D121" s="8">
        <f>IF(A121&lt;=$B$7,F121,IF(OR(A121=$B$12,C121+F121&lt;=ROUND($B$10,2)),C121+F121,ROUND($B$10,2)))</f>
        <v/>
      </c>
      <c r="E121" s="8">
        <f>D121-F121</f>
        <v/>
      </c>
      <c r="F121" s="8">
        <f>ROUND(C121*$B$8,2)</f>
        <v/>
      </c>
      <c r="G121" s="8">
        <f>ROUND(C121-E121,2)</f>
        <v/>
      </c>
    </row>
    <row r="122">
      <c r="A122" s="45">
        <f>A121+1</f>
        <v/>
      </c>
      <c r="B122" s="45">
        <f>ROUNDUP(A122/12,0)</f>
        <v/>
      </c>
      <c r="C122" s="8">
        <f>G121</f>
        <v/>
      </c>
      <c r="D122" s="8">
        <f>IF(A122&lt;=$B$7,F122,IF(OR(A122=$B$12,C122+F122&lt;=ROUND($B$10,2)),C122+F122,ROUND($B$10,2)))</f>
        <v/>
      </c>
      <c r="E122" s="8">
        <f>D122-F122</f>
        <v/>
      </c>
      <c r="F122" s="8">
        <f>ROUND(C122*$B$8,2)</f>
        <v/>
      </c>
      <c r="G122" s="8">
        <f>ROUND(C122-E122,2)</f>
        <v/>
      </c>
    </row>
    <row r="123">
      <c r="A123" s="45">
        <f>A122+1</f>
        <v/>
      </c>
      <c r="B123" s="45">
        <f>ROUNDUP(A123/12,0)</f>
        <v/>
      </c>
      <c r="C123" s="8">
        <f>G122</f>
        <v/>
      </c>
      <c r="D123" s="8">
        <f>IF(A123&lt;=$B$7,F123,IF(OR(A123=$B$12,C123+F123&lt;=ROUND($B$10,2)),C123+F123,ROUND($B$10,2)))</f>
        <v/>
      </c>
      <c r="E123" s="8">
        <f>D123-F123</f>
        <v/>
      </c>
      <c r="F123" s="8">
        <f>ROUND(C123*$B$8,2)</f>
        <v/>
      </c>
      <c r="G123" s="8">
        <f>ROUND(C123-E123,2)</f>
        <v/>
      </c>
    </row>
    <row r="124">
      <c r="A124" s="45">
        <f>A123+1</f>
        <v/>
      </c>
      <c r="B124" s="45">
        <f>ROUNDUP(A124/12,0)</f>
        <v/>
      </c>
      <c r="C124" s="8">
        <f>G123</f>
        <v/>
      </c>
      <c r="D124" s="8">
        <f>IF(A124&lt;=$B$7,F124,IF(OR(A124=$B$12,C124+F124&lt;=ROUND($B$10,2)),C124+F124,ROUND($B$10,2)))</f>
        <v/>
      </c>
      <c r="E124" s="8">
        <f>D124-F124</f>
        <v/>
      </c>
      <c r="F124" s="8">
        <f>ROUND(C124*$B$8,2)</f>
        <v/>
      </c>
      <c r="G124" s="8">
        <f>ROUND(C124-E124,2)</f>
        <v/>
      </c>
    </row>
    <row r="125">
      <c r="A125" s="45">
        <f>A124+1</f>
        <v/>
      </c>
      <c r="B125" s="45">
        <f>ROUNDUP(A125/12,0)</f>
        <v/>
      </c>
      <c r="C125" s="8">
        <f>G124</f>
        <v/>
      </c>
      <c r="D125" s="8">
        <f>IF(A125&lt;=$B$7,F125,IF(OR(A125=$B$12,C125+F125&lt;=ROUND($B$10,2)),C125+F125,ROUND($B$10,2)))</f>
        <v/>
      </c>
      <c r="E125" s="8">
        <f>D125-F125</f>
        <v/>
      </c>
      <c r="F125" s="8">
        <f>ROUND(C125*$B$8,2)</f>
        <v/>
      </c>
      <c r="G125" s="8">
        <f>ROUND(C125-E125,2)</f>
        <v/>
      </c>
    </row>
    <row r="126">
      <c r="A126" s="45">
        <f>A125+1</f>
        <v/>
      </c>
      <c r="B126" s="45">
        <f>ROUNDUP(A126/12,0)</f>
        <v/>
      </c>
      <c r="C126" s="8">
        <f>G125</f>
        <v/>
      </c>
      <c r="D126" s="8">
        <f>IF(A126&lt;=$B$7,F126,IF(OR(A126=$B$12,C126+F126&lt;=ROUND($B$10,2)),C126+F126,ROUND($B$10,2)))</f>
        <v/>
      </c>
      <c r="E126" s="8">
        <f>D126-F126</f>
        <v/>
      </c>
      <c r="F126" s="8">
        <f>ROUND(C126*$B$8,2)</f>
        <v/>
      </c>
      <c r="G126" s="8">
        <f>ROUND(C126-E126,2)</f>
        <v/>
      </c>
    </row>
    <row r="127">
      <c r="A127" s="45">
        <f>A126+1</f>
        <v/>
      </c>
      <c r="B127" s="45">
        <f>ROUNDUP(A127/12,0)</f>
        <v/>
      </c>
      <c r="C127" s="8">
        <f>G126</f>
        <v/>
      </c>
      <c r="D127" s="8">
        <f>IF(A127&lt;=$B$7,F127,IF(OR(A127=$B$12,C127+F127&lt;=ROUND($B$10,2)),C127+F127,ROUND($B$10,2)))</f>
        <v/>
      </c>
      <c r="E127" s="8">
        <f>D127-F127</f>
        <v/>
      </c>
      <c r="F127" s="8">
        <f>ROUND(C127*$B$8,2)</f>
        <v/>
      </c>
      <c r="G127" s="8">
        <f>ROUND(C127-E127,2)</f>
        <v/>
      </c>
    </row>
    <row r="128">
      <c r="A128" s="45">
        <f>A127+1</f>
        <v/>
      </c>
      <c r="B128" s="45">
        <f>ROUNDUP(A128/12,0)</f>
        <v/>
      </c>
      <c r="C128" s="8">
        <f>G127</f>
        <v/>
      </c>
      <c r="D128" s="8">
        <f>IF(A128&lt;=$B$7,F128,IF(OR(A128=$B$12,C128+F128&lt;=ROUND($B$10,2)),C128+F128,ROUND($B$10,2)))</f>
        <v/>
      </c>
      <c r="E128" s="8">
        <f>D128-F128</f>
        <v/>
      </c>
      <c r="F128" s="8">
        <f>ROUND(C128*$B$8,2)</f>
        <v/>
      </c>
      <c r="G128" s="8">
        <f>ROUND(C128-E128,2)</f>
        <v/>
      </c>
    </row>
    <row r="129">
      <c r="A129" s="45">
        <f>A128+1</f>
        <v/>
      </c>
      <c r="B129" s="45">
        <f>ROUNDUP(A129/12,0)</f>
        <v/>
      </c>
      <c r="C129" s="8">
        <f>G128</f>
        <v/>
      </c>
      <c r="D129" s="8">
        <f>IF(A129&lt;=$B$7,F129,IF(OR(A129=$B$12,C129+F129&lt;=ROUND($B$10,2)),C129+F129,ROUND($B$10,2)))</f>
        <v/>
      </c>
      <c r="E129" s="8">
        <f>D129-F129</f>
        <v/>
      </c>
      <c r="F129" s="8">
        <f>ROUND(C129*$B$8,2)</f>
        <v/>
      </c>
      <c r="G129" s="8">
        <f>ROUND(C129-E129,2)</f>
        <v/>
      </c>
    </row>
    <row r="130">
      <c r="A130" s="45">
        <f>A129+1</f>
        <v/>
      </c>
      <c r="B130" s="45">
        <f>ROUNDUP(A130/12,0)</f>
        <v/>
      </c>
      <c r="C130" s="8">
        <f>G129</f>
        <v/>
      </c>
      <c r="D130" s="8">
        <f>IF(A130&lt;=$B$7,F130,IF(OR(A130=$B$12,C130+F130&lt;=ROUND($B$10,2)),C130+F130,ROUND($B$10,2)))</f>
        <v/>
      </c>
      <c r="E130" s="8">
        <f>D130-F130</f>
        <v/>
      </c>
      <c r="F130" s="8">
        <f>ROUND(C130*$B$8,2)</f>
        <v/>
      </c>
      <c r="G130" s="8">
        <f>ROUND(C130-E130,2)</f>
        <v/>
      </c>
    </row>
    <row r="131">
      <c r="A131" s="45">
        <f>A130+1</f>
        <v/>
      </c>
      <c r="B131" s="45">
        <f>ROUNDUP(A131/12,0)</f>
        <v/>
      </c>
      <c r="C131" s="8">
        <f>G130</f>
        <v/>
      </c>
      <c r="D131" s="8">
        <f>IF(A131&lt;=$B$7,F131,IF(OR(A131=$B$12,C131+F131&lt;=ROUND($B$10,2)),C131+F131,ROUND($B$10,2)))</f>
        <v/>
      </c>
      <c r="E131" s="8">
        <f>D131-F131</f>
        <v/>
      </c>
      <c r="F131" s="8">
        <f>ROUND(C131*$B$8,2)</f>
        <v/>
      </c>
      <c r="G131" s="8">
        <f>ROUND(C131-E131,2)</f>
        <v/>
      </c>
    </row>
    <row r="132">
      <c r="A132" s="45">
        <f>A131+1</f>
        <v/>
      </c>
      <c r="B132" s="45">
        <f>ROUNDUP(A132/12,0)</f>
        <v/>
      </c>
      <c r="C132" s="8">
        <f>G131</f>
        <v/>
      </c>
      <c r="D132" s="8">
        <f>IF(A132&lt;=$B$7,F132,IF(OR(A132=$B$12,C132+F132&lt;=ROUND($B$10,2)),C132+F132,ROUND($B$10,2)))</f>
        <v/>
      </c>
      <c r="E132" s="8">
        <f>D132-F132</f>
        <v/>
      </c>
      <c r="F132" s="8">
        <f>ROUND(C132*$B$8,2)</f>
        <v/>
      </c>
      <c r="G132" s="8">
        <f>ROUND(C132-E132,2)</f>
        <v/>
      </c>
    </row>
    <row r="133">
      <c r="A133" s="45">
        <f>A132+1</f>
        <v/>
      </c>
      <c r="B133" s="45">
        <f>ROUNDUP(A133/12,0)</f>
        <v/>
      </c>
      <c r="C133" s="8">
        <f>G132</f>
        <v/>
      </c>
      <c r="D133" s="8">
        <f>IF(A133&lt;=$B$7,F133,IF(OR(A133=$B$12,C133+F133&lt;=ROUND($B$10,2)),C133+F133,ROUND($B$10,2)))</f>
        <v/>
      </c>
      <c r="E133" s="8">
        <f>D133-F133</f>
        <v/>
      </c>
      <c r="F133" s="8">
        <f>ROUND(C133*$B$8,2)</f>
        <v/>
      </c>
      <c r="G133" s="8">
        <f>ROUND(C133-E133,2)</f>
        <v/>
      </c>
    </row>
    <row r="134">
      <c r="A134" s="45">
        <f>A133+1</f>
        <v/>
      </c>
      <c r="B134" s="45">
        <f>ROUNDUP(A134/12,0)</f>
        <v/>
      </c>
      <c r="C134" s="8">
        <f>G133</f>
        <v/>
      </c>
      <c r="D134" s="8">
        <f>IF(A134&lt;=$B$7,F134,IF(OR(A134=$B$12,C134+F134&lt;=ROUND($B$10,2)),C134+F134,ROUND($B$10,2)))</f>
        <v/>
      </c>
      <c r="E134" s="8">
        <f>D134-F134</f>
        <v/>
      </c>
      <c r="F134" s="8">
        <f>ROUND(C134*$B$8,2)</f>
        <v/>
      </c>
      <c r="G134" s="8">
        <f>ROUND(C134-E134,2)</f>
        <v/>
      </c>
    </row>
    <row r="135">
      <c r="A135" s="45">
        <f>A134+1</f>
        <v/>
      </c>
      <c r="B135" s="45">
        <f>ROUNDUP(A135/12,0)</f>
        <v/>
      </c>
      <c r="C135" s="8">
        <f>G134</f>
        <v/>
      </c>
      <c r="D135" s="8">
        <f>IF(A135&lt;=$B$7,F135,IF(OR(A135=$B$12,C135+F135&lt;=ROUND($B$10,2)),C135+F135,ROUND($B$10,2)))</f>
        <v/>
      </c>
      <c r="E135" s="8">
        <f>D135-F135</f>
        <v/>
      </c>
      <c r="F135" s="8">
        <f>ROUND(C135*$B$8,2)</f>
        <v/>
      </c>
      <c r="G135" s="8">
        <f>ROUND(C135-E135,2)</f>
        <v/>
      </c>
    </row>
    <row r="136">
      <c r="A136" s="45">
        <f>A135+1</f>
        <v/>
      </c>
      <c r="B136" s="45">
        <f>ROUNDUP(A136/12,0)</f>
        <v/>
      </c>
      <c r="C136" s="8">
        <f>G135</f>
        <v/>
      </c>
      <c r="D136" s="8">
        <f>IF(A136&lt;=$B$7,F136,IF(OR(A136=$B$12,C136+F136&lt;=ROUND($B$10,2)),C136+F136,ROUND($B$10,2)))</f>
        <v/>
      </c>
      <c r="E136" s="8">
        <f>D136-F136</f>
        <v/>
      </c>
      <c r="F136" s="8">
        <f>ROUND(C136*$B$8,2)</f>
        <v/>
      </c>
      <c r="G136" s="8">
        <f>ROUND(C136-E136,2)</f>
        <v/>
      </c>
    </row>
    <row r="137">
      <c r="A137" s="45">
        <f>A136+1</f>
        <v/>
      </c>
      <c r="B137" s="45">
        <f>ROUNDUP(A137/12,0)</f>
        <v/>
      </c>
      <c r="C137" s="8">
        <f>G136</f>
        <v/>
      </c>
      <c r="D137" s="8">
        <f>IF(A137&lt;=$B$7,F137,IF(OR(A137=$B$12,C137+F137&lt;=ROUND($B$10,2)),C137+F137,ROUND($B$10,2)))</f>
        <v/>
      </c>
      <c r="E137" s="8">
        <f>D137-F137</f>
        <v/>
      </c>
      <c r="F137" s="8">
        <f>ROUND(C137*$B$8,2)</f>
        <v/>
      </c>
      <c r="G137" s="8">
        <f>ROUND(C137-E137,2)</f>
        <v/>
      </c>
    </row>
    <row r="138">
      <c r="A138" s="45">
        <f>A137+1</f>
        <v/>
      </c>
      <c r="B138" s="45">
        <f>ROUNDUP(A138/12,0)</f>
        <v/>
      </c>
      <c r="C138" s="8">
        <f>G137</f>
        <v/>
      </c>
      <c r="D138" s="8">
        <f>IF(A138&lt;=$B$7,F138,IF(OR(A138=$B$12,C138+F138&lt;=ROUND($B$10,2)),C138+F138,ROUND($B$10,2)))</f>
        <v/>
      </c>
      <c r="E138" s="8">
        <f>D138-F138</f>
        <v/>
      </c>
      <c r="F138" s="8">
        <f>ROUND(C138*$B$8,2)</f>
        <v/>
      </c>
      <c r="G138" s="8">
        <f>ROUND(C138-E138,2)</f>
        <v/>
      </c>
    </row>
    <row r="139">
      <c r="A139" s="45">
        <f>A138+1</f>
        <v/>
      </c>
      <c r="B139" s="45">
        <f>ROUNDUP(A139/12,0)</f>
        <v/>
      </c>
      <c r="C139" s="8">
        <f>G138</f>
        <v/>
      </c>
      <c r="D139" s="8">
        <f>IF(A139&lt;=$B$7,F139,IF(OR(A139=$B$12,C139+F139&lt;=ROUND($B$10,2)),C139+F139,ROUND($B$10,2)))</f>
        <v/>
      </c>
      <c r="E139" s="8">
        <f>D139-F139</f>
        <v/>
      </c>
      <c r="F139" s="8">
        <f>ROUND(C139*$B$8,2)</f>
        <v/>
      </c>
      <c r="G139" s="8">
        <f>ROUND(C139-E139,2)</f>
        <v/>
      </c>
    </row>
    <row r="140">
      <c r="A140" s="45">
        <f>A139+1</f>
        <v/>
      </c>
      <c r="B140" s="45">
        <f>ROUNDUP(A140/12,0)</f>
        <v/>
      </c>
      <c r="C140" s="8">
        <f>G139</f>
        <v/>
      </c>
      <c r="D140" s="8">
        <f>IF(A140&lt;=$B$7,F140,IF(OR(A140=$B$12,C140+F140&lt;=ROUND($B$10,2)),C140+F140,ROUND($B$10,2)))</f>
        <v/>
      </c>
      <c r="E140" s="8">
        <f>D140-F140</f>
        <v/>
      </c>
      <c r="F140" s="8">
        <f>ROUND(C140*$B$8,2)</f>
        <v/>
      </c>
      <c r="G140" s="8">
        <f>ROUND(C140-E140,2)</f>
        <v/>
      </c>
    </row>
    <row r="141">
      <c r="A141" s="45">
        <f>A140+1</f>
        <v/>
      </c>
      <c r="B141" s="45">
        <f>ROUNDUP(A141/12,0)</f>
        <v/>
      </c>
      <c r="C141" s="8">
        <f>G140</f>
        <v/>
      </c>
      <c r="D141" s="8">
        <f>IF(A141&lt;=$B$7,F141,IF(OR(A141=$B$12,C141+F141&lt;=ROUND($B$10,2)),C141+F141,ROUND($B$10,2)))</f>
        <v/>
      </c>
      <c r="E141" s="8">
        <f>D141-F141</f>
        <v/>
      </c>
      <c r="F141" s="8">
        <f>ROUND(C141*$B$8,2)</f>
        <v/>
      </c>
      <c r="G141" s="8">
        <f>ROUND(C141-E141,2)</f>
        <v/>
      </c>
    </row>
    <row r="142">
      <c r="A142" s="45">
        <f>A141+1</f>
        <v/>
      </c>
      <c r="B142" s="45">
        <f>ROUNDUP(A142/12,0)</f>
        <v/>
      </c>
      <c r="C142" s="8">
        <f>G141</f>
        <v/>
      </c>
      <c r="D142" s="8">
        <f>IF(A142&lt;=$B$7,F142,IF(OR(A142=$B$12,C142+F142&lt;=ROUND($B$10,2)),C142+F142,ROUND($B$10,2)))</f>
        <v/>
      </c>
      <c r="E142" s="8">
        <f>D142-F142</f>
        <v/>
      </c>
      <c r="F142" s="8">
        <f>ROUND(C142*$B$8,2)</f>
        <v/>
      </c>
      <c r="G142" s="8">
        <f>ROUND(C142-E142,2)</f>
        <v/>
      </c>
    </row>
    <row r="143">
      <c r="A143" s="45">
        <f>A142+1</f>
        <v/>
      </c>
      <c r="B143" s="45">
        <f>ROUNDUP(A143/12,0)</f>
        <v/>
      </c>
      <c r="C143" s="8">
        <f>G142</f>
        <v/>
      </c>
      <c r="D143" s="8">
        <f>IF(A143&lt;=$B$7,F143,IF(OR(A143=$B$12,C143+F143&lt;=ROUND($B$10,2)),C143+F143,ROUND($B$10,2)))</f>
        <v/>
      </c>
      <c r="E143" s="8">
        <f>D143-F143</f>
        <v/>
      </c>
      <c r="F143" s="8">
        <f>ROUND(C143*$B$8,2)</f>
        <v/>
      </c>
      <c r="G143" s="8">
        <f>ROUND(C143-E143,2)</f>
        <v/>
      </c>
    </row>
    <row r="144">
      <c r="A144" s="45">
        <f>A143+1</f>
        <v/>
      </c>
      <c r="B144" s="45">
        <f>ROUNDUP(A144/12,0)</f>
        <v/>
      </c>
      <c r="C144" s="8">
        <f>G143</f>
        <v/>
      </c>
      <c r="D144" s="8">
        <f>IF(A144&lt;=$B$7,F144,IF(OR(A144=$B$12,C144+F144&lt;=ROUND($B$10,2)),C144+F144,ROUND($B$10,2)))</f>
        <v/>
      </c>
      <c r="E144" s="8">
        <f>D144-F144</f>
        <v/>
      </c>
      <c r="F144" s="8">
        <f>ROUND(C144*$B$8,2)</f>
        <v/>
      </c>
      <c r="G144" s="8">
        <f>ROUND(C144-E144,2)</f>
        <v/>
      </c>
    </row>
    <row r="145">
      <c r="A145" s="45">
        <f>A144+1</f>
        <v/>
      </c>
      <c r="B145" s="45">
        <f>ROUNDUP(A145/12,0)</f>
        <v/>
      </c>
      <c r="C145" s="8">
        <f>G144</f>
        <v/>
      </c>
      <c r="D145" s="8">
        <f>IF(A145&lt;=$B$7,F145,IF(OR(A145=$B$12,C145+F145&lt;=ROUND($B$10,2)),C145+F145,ROUND($B$10,2)))</f>
        <v/>
      </c>
      <c r="E145" s="8">
        <f>D145-F145</f>
        <v/>
      </c>
      <c r="F145" s="8">
        <f>ROUND(C145*$B$8,2)</f>
        <v/>
      </c>
      <c r="G145" s="8">
        <f>ROUND(C145-E145,2)</f>
        <v/>
      </c>
    </row>
    <row r="146">
      <c r="A146" s="45">
        <f>A145+1</f>
        <v/>
      </c>
      <c r="B146" s="45">
        <f>ROUNDUP(A146/12,0)</f>
        <v/>
      </c>
      <c r="C146" s="8">
        <f>G145</f>
        <v/>
      </c>
      <c r="D146" s="8">
        <f>IF(A146&lt;=$B$7,F146,IF(OR(A146=$B$12,C146+F146&lt;=ROUND($B$10,2)),C146+F146,ROUND($B$10,2)))</f>
        <v/>
      </c>
      <c r="E146" s="8">
        <f>D146-F146</f>
        <v/>
      </c>
      <c r="F146" s="8">
        <f>ROUND(C146*$B$8,2)</f>
        <v/>
      </c>
      <c r="G146" s="8">
        <f>ROUND(C146-E146,2)</f>
        <v/>
      </c>
    </row>
    <row r="147">
      <c r="A147" s="45">
        <f>A146+1</f>
        <v/>
      </c>
      <c r="B147" s="45">
        <f>ROUNDUP(A147/12,0)</f>
        <v/>
      </c>
      <c r="C147" s="8">
        <f>G146</f>
        <v/>
      </c>
      <c r="D147" s="8">
        <f>IF(A147&lt;=$B$7,F147,IF(OR(A147=$B$12,C147+F147&lt;=ROUND($B$10,2)),C147+F147,ROUND($B$10,2)))</f>
        <v/>
      </c>
      <c r="E147" s="8">
        <f>D147-F147</f>
        <v/>
      </c>
      <c r="F147" s="8">
        <f>ROUND(C147*$B$8,2)</f>
        <v/>
      </c>
      <c r="G147" s="8">
        <f>ROUND(C147-E147,2)</f>
        <v/>
      </c>
    </row>
    <row r="148">
      <c r="A148" s="45">
        <f>A147+1</f>
        <v/>
      </c>
      <c r="B148" s="45">
        <f>ROUNDUP(A148/12,0)</f>
        <v/>
      </c>
      <c r="C148" s="8">
        <f>G147</f>
        <v/>
      </c>
      <c r="D148" s="8">
        <f>IF(A148&lt;=$B$7,F148,IF(OR(A148=$B$12,C148+F148&lt;=ROUND($B$10,2)),C148+F148,ROUND($B$10,2)))</f>
        <v/>
      </c>
      <c r="E148" s="8">
        <f>D148-F148</f>
        <v/>
      </c>
      <c r="F148" s="8">
        <f>ROUND(C148*$B$8,2)</f>
        <v/>
      </c>
      <c r="G148" s="8">
        <f>ROUND(C148-E148,2)</f>
        <v/>
      </c>
    </row>
    <row r="149">
      <c r="A149" s="45">
        <f>A148+1</f>
        <v/>
      </c>
      <c r="B149" s="45">
        <f>ROUNDUP(A149/12,0)</f>
        <v/>
      </c>
      <c r="C149" s="8">
        <f>G148</f>
        <v/>
      </c>
      <c r="D149" s="8">
        <f>IF(A149&lt;=$B$7,F149,IF(OR(A149=$B$12,C149+F149&lt;=ROUND($B$10,2)),C149+F149,ROUND($B$10,2)))</f>
        <v/>
      </c>
      <c r="E149" s="8">
        <f>D149-F149</f>
        <v/>
      </c>
      <c r="F149" s="8">
        <f>ROUND(C149*$B$8,2)</f>
        <v/>
      </c>
      <c r="G149" s="8">
        <f>ROUND(C149-E149,2)</f>
        <v/>
      </c>
    </row>
    <row r="150">
      <c r="A150" s="45">
        <f>A149+1</f>
        <v/>
      </c>
      <c r="B150" s="45">
        <f>ROUNDUP(A150/12,0)</f>
        <v/>
      </c>
      <c r="C150" s="8">
        <f>G149</f>
        <v/>
      </c>
      <c r="D150" s="8">
        <f>IF(A150&lt;=$B$7,F150,IF(OR(A150=$B$12,C150+F150&lt;=ROUND($B$10,2)),C150+F150,ROUND($B$10,2)))</f>
        <v/>
      </c>
      <c r="E150" s="8">
        <f>D150-F150</f>
        <v/>
      </c>
      <c r="F150" s="8">
        <f>ROUND(C150*$B$8,2)</f>
        <v/>
      </c>
      <c r="G150" s="8">
        <f>ROUND(C150-E150,2)</f>
        <v/>
      </c>
    </row>
    <row r="151">
      <c r="A151" s="45">
        <f>A150+1</f>
        <v/>
      </c>
      <c r="B151" s="45">
        <f>ROUNDUP(A151/12,0)</f>
        <v/>
      </c>
      <c r="C151" s="8">
        <f>G150</f>
        <v/>
      </c>
      <c r="D151" s="8">
        <f>IF(A151&lt;=$B$7,F151,IF(OR(A151=$B$12,C151+F151&lt;=ROUND($B$10,2)),C151+F151,ROUND($B$10,2)))</f>
        <v/>
      </c>
      <c r="E151" s="8">
        <f>D151-F151</f>
        <v/>
      </c>
      <c r="F151" s="8">
        <f>ROUND(C151*$B$8,2)</f>
        <v/>
      </c>
      <c r="G151" s="8">
        <f>ROUND(C151-E151,2)</f>
        <v/>
      </c>
    </row>
    <row r="152">
      <c r="A152" s="45">
        <f>A151+1</f>
        <v/>
      </c>
      <c r="B152" s="45">
        <f>ROUNDUP(A152/12,0)</f>
        <v/>
      </c>
      <c r="C152" s="8">
        <f>G151</f>
        <v/>
      </c>
      <c r="D152" s="8">
        <f>IF(A152&lt;=$B$7,F152,IF(OR(A152=$B$12,C152+F152&lt;=ROUND($B$10,2)),C152+F152,ROUND($B$10,2)))</f>
        <v/>
      </c>
      <c r="E152" s="8">
        <f>D152-F152</f>
        <v/>
      </c>
      <c r="F152" s="8">
        <f>ROUND(C152*$B$8,2)</f>
        <v/>
      </c>
      <c r="G152" s="8">
        <f>ROUND(C152-E152,2)</f>
        <v/>
      </c>
    </row>
    <row r="153">
      <c r="A153" s="45">
        <f>A152+1</f>
        <v/>
      </c>
      <c r="B153" s="45">
        <f>ROUNDUP(A153/12,0)</f>
        <v/>
      </c>
      <c r="C153" s="8">
        <f>G152</f>
        <v/>
      </c>
      <c r="D153" s="8">
        <f>IF(A153&lt;=$B$7,F153,IF(OR(A153=$B$12,C153+F153&lt;=ROUND($B$10,2)),C153+F153,ROUND($B$10,2)))</f>
        <v/>
      </c>
      <c r="E153" s="8">
        <f>D153-F153</f>
        <v/>
      </c>
      <c r="F153" s="8">
        <f>ROUND(C153*$B$8,2)</f>
        <v/>
      </c>
      <c r="G153" s="8">
        <f>ROUND(C153-E153,2)</f>
        <v/>
      </c>
    </row>
    <row r="154">
      <c r="A154" s="45">
        <f>A153+1</f>
        <v/>
      </c>
      <c r="B154" s="45">
        <f>ROUNDUP(A154/12,0)</f>
        <v/>
      </c>
      <c r="C154" s="8">
        <f>G153</f>
        <v/>
      </c>
      <c r="D154" s="8">
        <f>IF(A154&lt;=$B$7,F154,IF(OR(A154=$B$12,C154+F154&lt;=ROUND($B$10,2)),C154+F154,ROUND($B$10,2)))</f>
        <v/>
      </c>
      <c r="E154" s="8">
        <f>D154-F154</f>
        <v/>
      </c>
      <c r="F154" s="8">
        <f>ROUND(C154*$B$8,2)</f>
        <v/>
      </c>
      <c r="G154" s="8">
        <f>ROUND(C154-E154,2)</f>
        <v/>
      </c>
    </row>
    <row r="155">
      <c r="A155" s="45">
        <f>A154+1</f>
        <v/>
      </c>
      <c r="B155" s="45">
        <f>ROUNDUP(A155/12,0)</f>
        <v/>
      </c>
      <c r="C155" s="8">
        <f>G154</f>
        <v/>
      </c>
      <c r="D155" s="8">
        <f>IF(A155&lt;=$B$7,F155,IF(OR(A155=$B$12,C155+F155&lt;=ROUND($B$10,2)),C155+F155,ROUND($B$10,2)))</f>
        <v/>
      </c>
      <c r="E155" s="8">
        <f>D155-F155</f>
        <v/>
      </c>
      <c r="F155" s="8">
        <f>ROUND(C155*$B$8,2)</f>
        <v/>
      </c>
      <c r="G155" s="8">
        <f>ROUND(C155-E155,2)</f>
        <v/>
      </c>
    </row>
    <row r="156">
      <c r="A156" s="45">
        <f>A155+1</f>
        <v/>
      </c>
      <c r="B156" s="45">
        <f>ROUNDUP(A156/12,0)</f>
        <v/>
      </c>
      <c r="C156" s="8">
        <f>G155</f>
        <v/>
      </c>
      <c r="D156" s="8">
        <f>IF(A156&lt;=$B$7,F156,IF(OR(A156=$B$12,C156+F156&lt;=ROUND($B$10,2)),C156+F156,ROUND($B$10,2)))</f>
        <v/>
      </c>
      <c r="E156" s="8">
        <f>D156-F156</f>
        <v/>
      </c>
      <c r="F156" s="8">
        <f>ROUND(C156*$B$8,2)</f>
        <v/>
      </c>
      <c r="G156" s="8">
        <f>ROUND(C156-E156,2)</f>
        <v/>
      </c>
    </row>
    <row r="157">
      <c r="A157" s="45">
        <f>A156+1</f>
        <v/>
      </c>
      <c r="B157" s="45">
        <f>ROUNDUP(A157/12,0)</f>
        <v/>
      </c>
      <c r="C157" s="8">
        <f>G156</f>
        <v/>
      </c>
      <c r="D157" s="8">
        <f>IF(A157&lt;=$B$7,F157,IF(OR(A157=$B$12,C157+F157&lt;=ROUND($B$10,2)),C157+F157,ROUND($B$10,2)))</f>
        <v/>
      </c>
      <c r="E157" s="8">
        <f>D157-F157</f>
        <v/>
      </c>
      <c r="F157" s="8">
        <f>ROUND(C157*$B$8,2)</f>
        <v/>
      </c>
      <c r="G157" s="8">
        <f>ROUND(C157-E157,2)</f>
        <v/>
      </c>
    </row>
    <row r="158">
      <c r="A158" s="45">
        <f>A157+1</f>
        <v/>
      </c>
      <c r="B158" s="45">
        <f>ROUNDUP(A158/12,0)</f>
        <v/>
      </c>
      <c r="C158" s="8">
        <f>G157</f>
        <v/>
      </c>
      <c r="D158" s="8">
        <f>IF(A158&lt;=$B$7,F158,IF(OR(A158=$B$12,C158+F158&lt;=ROUND($B$10,2)),C158+F158,ROUND($B$10,2)))</f>
        <v/>
      </c>
      <c r="E158" s="8">
        <f>D158-F158</f>
        <v/>
      </c>
      <c r="F158" s="8">
        <f>ROUND(C158*$B$8,2)</f>
        <v/>
      </c>
      <c r="G158" s="8">
        <f>ROUND(C158-E158,2)</f>
        <v/>
      </c>
    </row>
    <row r="159">
      <c r="A159" s="45">
        <f>A158+1</f>
        <v/>
      </c>
      <c r="B159" s="45">
        <f>ROUNDUP(A159/12,0)</f>
        <v/>
      </c>
      <c r="C159" s="8">
        <f>G158</f>
        <v/>
      </c>
      <c r="D159" s="8">
        <f>IF(A159&lt;=$B$7,F159,IF(OR(A159=$B$12,C159+F159&lt;=ROUND($B$10,2)),C159+F159,ROUND($B$10,2)))</f>
        <v/>
      </c>
      <c r="E159" s="8">
        <f>D159-F159</f>
        <v/>
      </c>
      <c r="F159" s="8">
        <f>ROUND(C159*$B$8,2)</f>
        <v/>
      </c>
      <c r="G159" s="8">
        <f>ROUND(C159-E159,2)</f>
        <v/>
      </c>
    </row>
    <row r="160">
      <c r="A160" s="45">
        <f>A159+1</f>
        <v/>
      </c>
      <c r="B160" s="45">
        <f>ROUNDUP(A160/12,0)</f>
        <v/>
      </c>
      <c r="C160" s="8">
        <f>G159</f>
        <v/>
      </c>
      <c r="D160" s="8">
        <f>IF(A160&lt;=$B$7,F160,IF(OR(A160=$B$12,C160+F160&lt;=ROUND($B$10,2)),C160+F160,ROUND($B$10,2)))</f>
        <v/>
      </c>
      <c r="E160" s="8">
        <f>D160-F160</f>
        <v/>
      </c>
      <c r="F160" s="8">
        <f>ROUND(C160*$B$8,2)</f>
        <v/>
      </c>
      <c r="G160" s="8">
        <f>ROUND(C160-E160,2)</f>
        <v/>
      </c>
    </row>
    <row r="161">
      <c r="A161" s="45">
        <f>A160+1</f>
        <v/>
      </c>
      <c r="B161" s="45">
        <f>ROUNDUP(A161/12,0)</f>
        <v/>
      </c>
      <c r="C161" s="8">
        <f>G160</f>
        <v/>
      </c>
      <c r="D161" s="8">
        <f>IF(A161&lt;=$B$7,F161,IF(OR(A161=$B$12,C161+F161&lt;=ROUND($B$10,2)),C161+F161,ROUND($B$10,2)))</f>
        <v/>
      </c>
      <c r="E161" s="8">
        <f>D161-F161</f>
        <v/>
      </c>
      <c r="F161" s="8">
        <f>ROUND(C161*$B$8,2)</f>
        <v/>
      </c>
      <c r="G161" s="8">
        <f>ROUND(C161-E161,2)</f>
        <v/>
      </c>
    </row>
    <row r="162">
      <c r="A162" s="45">
        <f>A161+1</f>
        <v/>
      </c>
      <c r="B162" s="45">
        <f>ROUNDUP(A162/12,0)</f>
        <v/>
      </c>
      <c r="C162" s="8">
        <f>G161</f>
        <v/>
      </c>
      <c r="D162" s="8">
        <f>IF(A162&lt;=$B$7,F162,IF(OR(A162=$B$12,C162+F162&lt;=ROUND($B$10,2)),C162+F162,ROUND($B$10,2)))</f>
        <v/>
      </c>
      <c r="E162" s="8">
        <f>D162-F162</f>
        <v/>
      </c>
      <c r="F162" s="8">
        <f>ROUND(C162*$B$8,2)</f>
        <v/>
      </c>
      <c r="G162" s="8">
        <f>ROUND(C162-E162,2)</f>
        <v/>
      </c>
    </row>
    <row r="163">
      <c r="A163" s="45">
        <f>A162+1</f>
        <v/>
      </c>
      <c r="B163" s="45">
        <f>ROUNDUP(A163/12,0)</f>
        <v/>
      </c>
      <c r="C163" s="8">
        <f>G162</f>
        <v/>
      </c>
      <c r="D163" s="8">
        <f>IF(A163&lt;=$B$7,F163,IF(OR(A163=$B$12,C163+F163&lt;=ROUND($B$10,2)),C163+F163,ROUND($B$10,2)))</f>
        <v/>
      </c>
      <c r="E163" s="8">
        <f>D163-F163</f>
        <v/>
      </c>
      <c r="F163" s="8">
        <f>ROUND(C163*$B$8,2)</f>
        <v/>
      </c>
      <c r="G163" s="8">
        <f>ROUND(C163-E163,2)</f>
        <v/>
      </c>
    </row>
    <row r="164">
      <c r="A164" s="45">
        <f>A163+1</f>
        <v/>
      </c>
      <c r="B164" s="45">
        <f>ROUNDUP(A164/12,0)</f>
        <v/>
      </c>
      <c r="C164" s="8">
        <f>G163</f>
        <v/>
      </c>
      <c r="D164" s="8">
        <f>IF(A164&lt;=$B$7,F164,IF(OR(A164=$B$12,C164+F164&lt;=ROUND($B$10,2)),C164+F164,ROUND($B$10,2)))</f>
        <v/>
      </c>
      <c r="E164" s="8">
        <f>D164-F164</f>
        <v/>
      </c>
      <c r="F164" s="8">
        <f>ROUND(C164*$B$8,2)</f>
        <v/>
      </c>
      <c r="G164" s="8">
        <f>ROUND(C164-E164,2)</f>
        <v/>
      </c>
    </row>
    <row r="165">
      <c r="A165" s="45">
        <f>A164+1</f>
        <v/>
      </c>
      <c r="B165" s="45">
        <f>ROUNDUP(A165/12,0)</f>
        <v/>
      </c>
      <c r="C165" s="8">
        <f>G164</f>
        <v/>
      </c>
      <c r="D165" s="8">
        <f>IF(A165&lt;=$B$7,F165,IF(OR(A165=$B$12,C165+F165&lt;=ROUND($B$10,2)),C165+F165,ROUND($B$10,2)))</f>
        <v/>
      </c>
      <c r="E165" s="8">
        <f>D165-F165</f>
        <v/>
      </c>
      <c r="F165" s="8">
        <f>ROUND(C165*$B$8,2)</f>
        <v/>
      </c>
      <c r="G165" s="8">
        <f>ROUND(C165-E165,2)</f>
        <v/>
      </c>
    </row>
    <row r="166">
      <c r="A166" s="45">
        <f>A165+1</f>
        <v/>
      </c>
      <c r="B166" s="45">
        <f>ROUNDUP(A166/12,0)</f>
        <v/>
      </c>
      <c r="C166" s="8">
        <f>G165</f>
        <v/>
      </c>
      <c r="D166" s="8">
        <f>IF(A166&lt;=$B$7,F166,IF(OR(A166=$B$12,C166+F166&lt;=ROUND($B$10,2)),C166+F166,ROUND($B$10,2)))</f>
        <v/>
      </c>
      <c r="E166" s="8">
        <f>D166-F166</f>
        <v/>
      </c>
      <c r="F166" s="8">
        <f>ROUND(C166*$B$8,2)</f>
        <v/>
      </c>
      <c r="G166" s="8">
        <f>ROUND(C166-E166,2)</f>
        <v/>
      </c>
    </row>
    <row r="167">
      <c r="A167" s="45">
        <f>A166+1</f>
        <v/>
      </c>
      <c r="B167" s="45">
        <f>ROUNDUP(A167/12,0)</f>
        <v/>
      </c>
      <c r="C167" s="8">
        <f>G166</f>
        <v/>
      </c>
      <c r="D167" s="8">
        <f>IF(A167&lt;=$B$7,F167,IF(OR(A167=$B$12,C167+F167&lt;=ROUND($B$10,2)),C167+F167,ROUND($B$10,2)))</f>
        <v/>
      </c>
      <c r="E167" s="8">
        <f>D167-F167</f>
        <v/>
      </c>
      <c r="F167" s="8">
        <f>ROUND(C167*$B$8,2)</f>
        <v/>
      </c>
      <c r="G167" s="8">
        <f>ROUND(C167-E167,2)</f>
        <v/>
      </c>
    </row>
    <row r="168">
      <c r="A168" s="45">
        <f>A167+1</f>
        <v/>
      </c>
      <c r="B168" s="45">
        <f>ROUNDUP(A168/12,0)</f>
        <v/>
      </c>
      <c r="C168" s="8">
        <f>G167</f>
        <v/>
      </c>
      <c r="D168" s="8">
        <f>IF(A168&lt;=$B$7,F168,IF(OR(A168=$B$12,C168+F168&lt;=ROUND($B$10,2)),C168+F168,ROUND($B$10,2)))</f>
        <v/>
      </c>
      <c r="E168" s="8">
        <f>D168-F168</f>
        <v/>
      </c>
      <c r="F168" s="8">
        <f>ROUND(C168*$B$8,2)</f>
        <v/>
      </c>
      <c r="G168" s="8">
        <f>ROUND(C168-E168,2)</f>
        <v/>
      </c>
    </row>
    <row r="169">
      <c r="A169" s="45">
        <f>A168+1</f>
        <v/>
      </c>
      <c r="B169" s="45">
        <f>ROUNDUP(A169/12,0)</f>
        <v/>
      </c>
      <c r="C169" s="8">
        <f>G168</f>
        <v/>
      </c>
      <c r="D169" s="8">
        <f>IF(A169&lt;=$B$7,F169,IF(OR(A169=$B$12,C169+F169&lt;=ROUND($B$10,2)),C169+F169,ROUND($B$10,2)))</f>
        <v/>
      </c>
      <c r="E169" s="8">
        <f>D169-F169</f>
        <v/>
      </c>
      <c r="F169" s="8">
        <f>ROUND(C169*$B$8,2)</f>
        <v/>
      </c>
      <c r="G169" s="8">
        <f>ROUND(C169-E169,2)</f>
        <v/>
      </c>
    </row>
    <row r="170">
      <c r="A170" s="45">
        <f>A169+1</f>
        <v/>
      </c>
      <c r="B170" s="45">
        <f>ROUNDUP(A170/12,0)</f>
        <v/>
      </c>
      <c r="C170" s="8">
        <f>G169</f>
        <v/>
      </c>
      <c r="D170" s="8">
        <f>IF(A170&lt;=$B$7,F170,IF(OR(A170=$B$12,C170+F170&lt;=ROUND($B$10,2)),C170+F170,ROUND($B$10,2)))</f>
        <v/>
      </c>
      <c r="E170" s="8">
        <f>D170-F170</f>
        <v/>
      </c>
      <c r="F170" s="8">
        <f>ROUND(C170*$B$8,2)</f>
        <v/>
      </c>
      <c r="G170" s="8">
        <f>ROUND(C170-E170,2)</f>
        <v/>
      </c>
    </row>
    <row r="171">
      <c r="A171" s="45">
        <f>A170+1</f>
        <v/>
      </c>
      <c r="B171" s="45">
        <f>ROUNDUP(A171/12,0)</f>
        <v/>
      </c>
      <c r="C171" s="8">
        <f>G170</f>
        <v/>
      </c>
      <c r="D171" s="8">
        <f>IF(A171&lt;=$B$7,F171,IF(OR(A171=$B$12,C171+F171&lt;=ROUND($B$10,2)),C171+F171,ROUND($B$10,2)))</f>
        <v/>
      </c>
      <c r="E171" s="8">
        <f>D171-F171</f>
        <v/>
      </c>
      <c r="F171" s="8">
        <f>ROUND(C171*$B$8,2)</f>
        <v/>
      </c>
      <c r="G171" s="8">
        <f>ROUND(C171-E171,2)</f>
        <v/>
      </c>
    </row>
    <row r="172">
      <c r="A172" s="45">
        <f>A171+1</f>
        <v/>
      </c>
      <c r="B172" s="45">
        <f>ROUNDUP(A172/12,0)</f>
        <v/>
      </c>
      <c r="C172" s="8">
        <f>G171</f>
        <v/>
      </c>
      <c r="D172" s="8">
        <f>IF(A172&lt;=$B$7,F172,IF(OR(A172=$B$12,C172+F172&lt;=ROUND($B$10,2)),C172+F172,ROUND($B$10,2)))</f>
        <v/>
      </c>
      <c r="E172" s="8">
        <f>D172-F172</f>
        <v/>
      </c>
      <c r="F172" s="8">
        <f>ROUND(C172*$B$8,2)</f>
        <v/>
      </c>
      <c r="G172" s="8">
        <f>ROUND(C172-E172,2)</f>
        <v/>
      </c>
    </row>
    <row r="173">
      <c r="A173" s="45">
        <f>A172+1</f>
        <v/>
      </c>
      <c r="B173" s="45">
        <f>ROUNDUP(A173/12,0)</f>
        <v/>
      </c>
      <c r="C173" s="8">
        <f>G172</f>
        <v/>
      </c>
      <c r="D173" s="8">
        <f>IF(A173&lt;=$B$7,F173,IF(OR(A173=$B$12,C173+F173&lt;=ROUND($B$10,2)),C173+F173,ROUND($B$10,2)))</f>
        <v/>
      </c>
      <c r="E173" s="8">
        <f>D173-F173</f>
        <v/>
      </c>
      <c r="F173" s="8">
        <f>ROUND(C173*$B$8,2)</f>
        <v/>
      </c>
      <c r="G173" s="8">
        <f>ROUND(C173-E173,2)</f>
        <v/>
      </c>
    </row>
    <row r="174">
      <c r="A174" s="45">
        <f>A173+1</f>
        <v/>
      </c>
      <c r="B174" s="45">
        <f>ROUNDUP(A174/12,0)</f>
        <v/>
      </c>
      <c r="C174" s="8">
        <f>G173</f>
        <v/>
      </c>
      <c r="D174" s="8">
        <f>IF(A174&lt;=$B$7,F174,IF(OR(A174=$B$12,C174+F174&lt;=ROUND($B$10,2)),C174+F174,ROUND($B$10,2)))</f>
        <v/>
      </c>
      <c r="E174" s="8">
        <f>D174-F174</f>
        <v/>
      </c>
      <c r="F174" s="8">
        <f>ROUND(C174*$B$8,2)</f>
        <v/>
      </c>
      <c r="G174" s="8">
        <f>ROUND(C174-E174,2)</f>
        <v/>
      </c>
    </row>
    <row r="175">
      <c r="A175" s="45">
        <f>A174+1</f>
        <v/>
      </c>
      <c r="B175" s="45">
        <f>ROUNDUP(A175/12,0)</f>
        <v/>
      </c>
      <c r="C175" s="8">
        <f>G174</f>
        <v/>
      </c>
      <c r="D175" s="8">
        <f>IF(A175&lt;=$B$7,F175,IF(OR(A175=$B$12,C175+F175&lt;=ROUND($B$10,2)),C175+F175,ROUND($B$10,2)))</f>
        <v/>
      </c>
      <c r="E175" s="8">
        <f>D175-F175</f>
        <v/>
      </c>
      <c r="F175" s="8">
        <f>ROUND(C175*$B$8,2)</f>
        <v/>
      </c>
      <c r="G175" s="8">
        <f>ROUND(C175-E175,2)</f>
        <v/>
      </c>
    </row>
    <row r="176">
      <c r="A176" s="45">
        <f>A175+1</f>
        <v/>
      </c>
      <c r="B176" s="45">
        <f>ROUNDUP(A176/12,0)</f>
        <v/>
      </c>
      <c r="C176" s="8">
        <f>G175</f>
        <v/>
      </c>
      <c r="D176" s="8">
        <f>IF(A176&lt;=$B$7,F176,IF(OR(A176=$B$12,C176+F176&lt;=ROUND($B$10,2)),C176+F176,ROUND($B$10,2)))</f>
        <v/>
      </c>
      <c r="E176" s="8">
        <f>D176-F176</f>
        <v/>
      </c>
      <c r="F176" s="8">
        <f>ROUND(C176*$B$8,2)</f>
        <v/>
      </c>
      <c r="G176" s="8">
        <f>ROUND(C176-E176,2)</f>
        <v/>
      </c>
    </row>
    <row r="177">
      <c r="A177" s="45">
        <f>A176+1</f>
        <v/>
      </c>
      <c r="B177" s="45">
        <f>ROUNDUP(A177/12,0)</f>
        <v/>
      </c>
      <c r="C177" s="8">
        <f>G176</f>
        <v/>
      </c>
      <c r="D177" s="8">
        <f>IF(A177&lt;=$B$7,F177,IF(OR(A177=$B$12,C177+F177&lt;=ROUND($B$10,2)),C177+F177,ROUND($B$10,2)))</f>
        <v/>
      </c>
      <c r="E177" s="8">
        <f>D177-F177</f>
        <v/>
      </c>
      <c r="F177" s="8">
        <f>ROUND(C177*$B$8,2)</f>
        <v/>
      </c>
      <c r="G177" s="8">
        <f>ROUND(C177-E177,2)</f>
        <v/>
      </c>
    </row>
    <row r="178">
      <c r="A178" s="45">
        <f>A177+1</f>
        <v/>
      </c>
      <c r="B178" s="45">
        <f>ROUNDUP(A178/12,0)</f>
        <v/>
      </c>
      <c r="C178" s="8">
        <f>G177</f>
        <v/>
      </c>
      <c r="D178" s="8">
        <f>IF(A178&lt;=$B$7,F178,IF(OR(A178=$B$12,C178+F178&lt;=ROUND($B$10,2)),C178+F178,ROUND($B$10,2)))</f>
        <v/>
      </c>
      <c r="E178" s="8">
        <f>D178-F178</f>
        <v/>
      </c>
      <c r="F178" s="8">
        <f>ROUND(C178*$B$8,2)</f>
        <v/>
      </c>
      <c r="G178" s="8">
        <f>ROUND(C178-E178,2)</f>
        <v/>
      </c>
    </row>
    <row r="179">
      <c r="A179" s="45">
        <f>A178+1</f>
        <v/>
      </c>
      <c r="B179" s="45">
        <f>ROUNDUP(A179/12,0)</f>
        <v/>
      </c>
      <c r="C179" s="8">
        <f>G178</f>
        <v/>
      </c>
      <c r="D179" s="8">
        <f>IF(A179&lt;=$B$7,F179,IF(OR(A179=$B$12,C179+F179&lt;=ROUND($B$10,2)),C179+F179,ROUND($B$10,2)))</f>
        <v/>
      </c>
      <c r="E179" s="8">
        <f>D179-F179</f>
        <v/>
      </c>
      <c r="F179" s="8">
        <f>ROUND(C179*$B$8,2)</f>
        <v/>
      </c>
      <c r="G179" s="8">
        <f>ROUND(C179-E179,2)</f>
        <v/>
      </c>
    </row>
    <row r="180">
      <c r="A180" s="45">
        <f>A179+1</f>
        <v/>
      </c>
      <c r="B180" s="45">
        <f>ROUNDUP(A180/12,0)</f>
        <v/>
      </c>
      <c r="C180" s="8">
        <f>G179</f>
        <v/>
      </c>
      <c r="D180" s="8">
        <f>IF(A180&lt;=$B$7,F180,IF(OR(A180=$B$12,C180+F180&lt;=ROUND($B$10,2)),C180+F180,ROUND($B$10,2)))</f>
        <v/>
      </c>
      <c r="E180" s="8">
        <f>D180-F180</f>
        <v/>
      </c>
      <c r="F180" s="8">
        <f>ROUND(C180*$B$8,2)</f>
        <v/>
      </c>
      <c r="G180" s="8">
        <f>ROUND(C180-E180,2)</f>
        <v/>
      </c>
    </row>
    <row r="181">
      <c r="A181" s="45">
        <f>A180+1</f>
        <v/>
      </c>
      <c r="B181" s="45">
        <f>ROUNDUP(A181/12,0)</f>
        <v/>
      </c>
      <c r="C181" s="8">
        <f>G180</f>
        <v/>
      </c>
      <c r="D181" s="8">
        <f>IF(A181&lt;=$B$7,F181,IF(OR(A181=$B$12,C181+F181&lt;=ROUND($B$10,2)),C181+F181,ROUND($B$10,2)))</f>
        <v/>
      </c>
      <c r="E181" s="8">
        <f>D181-F181</f>
        <v/>
      </c>
      <c r="F181" s="8">
        <f>ROUND(C181*$B$8,2)</f>
        <v/>
      </c>
      <c r="G181" s="8">
        <f>ROUND(C181-E181,2)</f>
        <v/>
      </c>
    </row>
    <row r="182">
      <c r="A182" s="45">
        <f>A181+1</f>
        <v/>
      </c>
      <c r="B182" s="45">
        <f>ROUNDUP(A182/12,0)</f>
        <v/>
      </c>
      <c r="C182" s="8">
        <f>G181</f>
        <v/>
      </c>
      <c r="D182" s="8">
        <f>IF(A182&lt;=$B$7,F182,IF(OR(A182=$B$12,C182+F182&lt;=ROUND($B$10,2)),C182+F182,ROUND($B$10,2)))</f>
        <v/>
      </c>
      <c r="E182" s="8">
        <f>D182-F182</f>
        <v/>
      </c>
      <c r="F182" s="8">
        <f>ROUND(C182*$B$8,2)</f>
        <v/>
      </c>
      <c r="G182" s="8">
        <f>ROUND(C182-E182,2)</f>
        <v/>
      </c>
    </row>
    <row r="183">
      <c r="A183" s="45">
        <f>A182+1</f>
        <v/>
      </c>
      <c r="B183" s="45">
        <f>ROUNDUP(A183/12,0)</f>
        <v/>
      </c>
      <c r="C183" s="8">
        <f>G182</f>
        <v/>
      </c>
      <c r="D183" s="8">
        <f>IF(A183&lt;=$B$7,F183,IF(OR(A183=$B$12,C183+F183&lt;=ROUND($B$10,2)),C183+F183,ROUND($B$10,2)))</f>
        <v/>
      </c>
      <c r="E183" s="8">
        <f>D183-F183</f>
        <v/>
      </c>
      <c r="F183" s="8">
        <f>ROUND(C183*$B$8,2)</f>
        <v/>
      </c>
      <c r="G183" s="8">
        <f>ROUND(C183-E183,2)</f>
        <v/>
      </c>
    </row>
    <row r="184">
      <c r="A184" s="45">
        <f>A183+1</f>
        <v/>
      </c>
      <c r="B184" s="45">
        <f>ROUNDUP(A184/12,0)</f>
        <v/>
      </c>
      <c r="C184" s="8">
        <f>G183</f>
        <v/>
      </c>
      <c r="D184" s="8">
        <f>IF(A184&lt;=$B$7,F184,IF(OR(A184=$B$12,C184+F184&lt;=ROUND($B$10,2)),C184+F184,ROUND($B$10,2)))</f>
        <v/>
      </c>
      <c r="E184" s="8">
        <f>D184-F184</f>
        <v/>
      </c>
      <c r="F184" s="8">
        <f>ROUND(C184*$B$8,2)</f>
        <v/>
      </c>
      <c r="G184" s="8">
        <f>ROUND(C184-E184,2)</f>
        <v/>
      </c>
    </row>
    <row r="185">
      <c r="A185" s="45">
        <f>A184+1</f>
        <v/>
      </c>
      <c r="B185" s="45">
        <f>ROUNDUP(A185/12,0)</f>
        <v/>
      </c>
      <c r="C185" s="8">
        <f>G184</f>
        <v/>
      </c>
      <c r="D185" s="8">
        <f>IF(A185&lt;=$B$7,F185,IF(OR(A185=$B$12,C185+F185&lt;=ROUND($B$10,2)),C185+F185,ROUND($B$10,2)))</f>
        <v/>
      </c>
      <c r="E185" s="8">
        <f>D185-F185</f>
        <v/>
      </c>
      <c r="F185" s="8">
        <f>ROUND(C185*$B$8,2)</f>
        <v/>
      </c>
      <c r="G185" s="8">
        <f>ROUND(C185-E185,2)</f>
        <v/>
      </c>
    </row>
    <row r="186">
      <c r="A186" s="45">
        <f>A185+1</f>
        <v/>
      </c>
      <c r="B186" s="45">
        <f>ROUNDUP(A186/12,0)</f>
        <v/>
      </c>
      <c r="C186" s="8">
        <f>G185</f>
        <v/>
      </c>
      <c r="D186" s="8">
        <f>IF(A186&lt;=$B$7,F186,IF(OR(A186=$B$12,C186+F186&lt;=ROUND($B$10,2)),C186+F186,ROUND($B$10,2)))</f>
        <v/>
      </c>
      <c r="E186" s="8">
        <f>D186-F186</f>
        <v/>
      </c>
      <c r="F186" s="8">
        <f>ROUND(C186*$B$8,2)</f>
        <v/>
      </c>
      <c r="G186" s="8">
        <f>ROUND(C186-E186,2)</f>
        <v/>
      </c>
    </row>
    <row r="187">
      <c r="A187" s="45">
        <f>A186+1</f>
        <v/>
      </c>
      <c r="B187" s="45">
        <f>ROUNDUP(A187/12,0)</f>
        <v/>
      </c>
      <c r="C187" s="8">
        <f>G186</f>
        <v/>
      </c>
      <c r="D187" s="8">
        <f>IF(A187&lt;=$B$7,F187,IF(OR(A187=$B$12,C187+F187&lt;=ROUND($B$10,2)),C187+F187,ROUND($B$10,2)))</f>
        <v/>
      </c>
      <c r="E187" s="8">
        <f>D187-F187</f>
        <v/>
      </c>
      <c r="F187" s="8">
        <f>ROUND(C187*$B$8,2)</f>
        <v/>
      </c>
      <c r="G187" s="8">
        <f>ROUND(C187-E187,2)</f>
        <v/>
      </c>
    </row>
    <row r="188">
      <c r="A188" s="45">
        <f>A187+1</f>
        <v/>
      </c>
      <c r="B188" s="45">
        <f>ROUNDUP(A188/12,0)</f>
        <v/>
      </c>
      <c r="C188" s="8">
        <f>G187</f>
        <v/>
      </c>
      <c r="D188" s="8">
        <f>IF(A188&lt;=$B$7,F188,IF(OR(A188=$B$12,C188+F188&lt;=ROUND($B$10,2)),C188+F188,ROUND($B$10,2)))</f>
        <v/>
      </c>
      <c r="E188" s="8">
        <f>D188-F188</f>
        <v/>
      </c>
      <c r="F188" s="8">
        <f>ROUND(C188*$B$8,2)</f>
        <v/>
      </c>
      <c r="G188" s="8">
        <f>ROUND(C188-E188,2)</f>
        <v/>
      </c>
    </row>
    <row r="189">
      <c r="A189" s="45">
        <f>A188+1</f>
        <v/>
      </c>
      <c r="B189" s="45">
        <f>ROUNDUP(A189/12,0)</f>
        <v/>
      </c>
      <c r="C189" s="8">
        <f>G188</f>
        <v/>
      </c>
      <c r="D189" s="8">
        <f>IF(A189&lt;=$B$7,F189,IF(OR(A189=$B$12,C189+F189&lt;=ROUND($B$10,2)),C189+F189,ROUND($B$10,2)))</f>
        <v/>
      </c>
      <c r="E189" s="8">
        <f>D189-F189</f>
        <v/>
      </c>
      <c r="F189" s="8">
        <f>ROUND(C189*$B$8,2)</f>
        <v/>
      </c>
      <c r="G189" s="8">
        <f>ROUND(C189-E189,2)</f>
        <v/>
      </c>
    </row>
    <row r="190">
      <c r="A190" s="45">
        <f>A189+1</f>
        <v/>
      </c>
      <c r="B190" s="45">
        <f>ROUNDUP(A190/12,0)</f>
        <v/>
      </c>
      <c r="C190" s="8">
        <f>G189</f>
        <v/>
      </c>
      <c r="D190" s="8">
        <f>IF(A190&lt;=$B$7,F190,IF(OR(A190=$B$12,C190+F190&lt;=ROUND($B$10,2)),C190+F190,ROUND($B$10,2)))</f>
        <v/>
      </c>
      <c r="E190" s="8">
        <f>D190-F190</f>
        <v/>
      </c>
      <c r="F190" s="8">
        <f>ROUND(C190*$B$8,2)</f>
        <v/>
      </c>
      <c r="G190" s="8">
        <f>ROUND(C190-E190,2)</f>
        <v/>
      </c>
    </row>
    <row r="191">
      <c r="A191" s="45">
        <f>A190+1</f>
        <v/>
      </c>
      <c r="B191" s="45">
        <f>ROUNDUP(A191/12,0)</f>
        <v/>
      </c>
      <c r="C191" s="8">
        <f>G190</f>
        <v/>
      </c>
      <c r="D191" s="8">
        <f>IF(A191&lt;=$B$7,F191,IF(OR(A191=$B$12,C191+F191&lt;=ROUND($B$10,2)),C191+F191,ROUND($B$10,2)))</f>
        <v/>
      </c>
      <c r="E191" s="8">
        <f>D191-F191</f>
        <v/>
      </c>
      <c r="F191" s="8">
        <f>ROUND(C191*$B$8,2)</f>
        <v/>
      </c>
      <c r="G191" s="8">
        <f>ROUND(C191-E191,2)</f>
        <v/>
      </c>
    </row>
    <row r="192">
      <c r="A192" s="45">
        <f>A191+1</f>
        <v/>
      </c>
      <c r="B192" s="45">
        <f>ROUNDUP(A192/12,0)</f>
        <v/>
      </c>
      <c r="C192" s="8">
        <f>G191</f>
        <v/>
      </c>
      <c r="D192" s="8">
        <f>IF(A192&lt;=$B$7,F192,IF(OR(A192=$B$12,C192+F192&lt;=ROUND($B$10,2)),C192+F192,ROUND($B$10,2)))</f>
        <v/>
      </c>
      <c r="E192" s="8">
        <f>D192-F192</f>
        <v/>
      </c>
      <c r="F192" s="8">
        <f>ROUND(C192*$B$8,2)</f>
        <v/>
      </c>
      <c r="G192" s="8">
        <f>ROUND(C192-E192,2)</f>
        <v/>
      </c>
    </row>
    <row r="193">
      <c r="A193" s="45">
        <f>A192+1</f>
        <v/>
      </c>
      <c r="B193" s="45">
        <f>ROUNDUP(A193/12,0)</f>
        <v/>
      </c>
      <c r="C193" s="8">
        <f>G192</f>
        <v/>
      </c>
      <c r="D193" s="8">
        <f>IF(A193&lt;=$B$7,F193,IF(OR(A193=$B$12,C193+F193&lt;=ROUND($B$10,2)),C193+F193,ROUND($B$10,2)))</f>
        <v/>
      </c>
      <c r="E193" s="8">
        <f>D193-F193</f>
        <v/>
      </c>
      <c r="F193" s="8">
        <f>ROUND(C193*$B$8,2)</f>
        <v/>
      </c>
      <c r="G193" s="8">
        <f>ROUND(C193-E193,2)</f>
        <v/>
      </c>
    </row>
    <row r="194">
      <c r="A194" s="45">
        <f>A193+1</f>
        <v/>
      </c>
      <c r="B194" s="45">
        <f>ROUNDUP(A194/12,0)</f>
        <v/>
      </c>
      <c r="C194" s="8">
        <f>G193</f>
        <v/>
      </c>
      <c r="D194" s="8">
        <f>IF(A194&lt;=$B$7,F194,IF(OR(A194=$B$12,C194+F194&lt;=ROUND($B$10,2)),C194+F194,ROUND($B$10,2)))</f>
        <v/>
      </c>
      <c r="E194" s="8">
        <f>D194-F194</f>
        <v/>
      </c>
      <c r="F194" s="8">
        <f>ROUND(C194*$B$8,2)</f>
        <v/>
      </c>
      <c r="G194" s="8">
        <f>ROUND(C194-E194,2)</f>
        <v/>
      </c>
    </row>
    <row r="195">
      <c r="A195" s="45">
        <f>A194+1</f>
        <v/>
      </c>
      <c r="B195" s="45">
        <f>ROUNDUP(A195/12,0)</f>
        <v/>
      </c>
      <c r="C195" s="8">
        <f>G194</f>
        <v/>
      </c>
      <c r="D195" s="8">
        <f>IF(A195&lt;=$B$7,F195,IF(OR(A195=$B$12,C195+F195&lt;=ROUND($B$10,2)),C195+F195,ROUND($B$10,2)))</f>
        <v/>
      </c>
      <c r="E195" s="8">
        <f>D195-F195</f>
        <v/>
      </c>
      <c r="F195" s="8">
        <f>ROUND(C195*$B$8,2)</f>
        <v/>
      </c>
      <c r="G195" s="8">
        <f>ROUND(C195-E195,2)</f>
        <v/>
      </c>
    </row>
    <row r="196">
      <c r="A196" s="45">
        <f>A195+1</f>
        <v/>
      </c>
      <c r="B196" s="45">
        <f>ROUNDUP(A196/12,0)</f>
        <v/>
      </c>
      <c r="C196" s="8">
        <f>G195</f>
        <v/>
      </c>
      <c r="D196" s="8">
        <f>IF(A196&lt;=$B$7,F196,IF(OR(A196=$B$12,C196+F196&lt;=ROUND($B$10,2)),C196+F196,ROUND($B$10,2)))</f>
        <v/>
      </c>
      <c r="E196" s="8">
        <f>D196-F196</f>
        <v/>
      </c>
      <c r="F196" s="8">
        <f>ROUND(C196*$B$8,2)</f>
        <v/>
      </c>
      <c r="G196" s="8">
        <f>ROUND(C196-E196,2)</f>
        <v/>
      </c>
    </row>
    <row r="197">
      <c r="A197" s="45">
        <f>A196+1</f>
        <v/>
      </c>
      <c r="B197" s="45">
        <f>ROUNDUP(A197/12,0)</f>
        <v/>
      </c>
      <c r="C197" s="8">
        <f>G196</f>
        <v/>
      </c>
      <c r="D197" s="8">
        <f>IF(A197&lt;=$B$7,F197,IF(OR(A197=$B$12,C197+F197&lt;=ROUND($B$10,2)),C197+F197,ROUND($B$10,2)))</f>
        <v/>
      </c>
      <c r="E197" s="8">
        <f>D197-F197</f>
        <v/>
      </c>
      <c r="F197" s="8">
        <f>ROUND(C197*$B$8,2)</f>
        <v/>
      </c>
      <c r="G197" s="8">
        <f>ROUND(C197-E197,2)</f>
        <v/>
      </c>
    </row>
    <row r="198">
      <c r="A198" s="45">
        <f>A197+1</f>
        <v/>
      </c>
      <c r="B198" s="45">
        <f>ROUNDUP(A198/12,0)</f>
        <v/>
      </c>
      <c r="C198" s="8">
        <f>G197</f>
        <v/>
      </c>
      <c r="D198" s="8">
        <f>IF(A198&lt;=$B$7,F198,IF(OR(A198=$B$12,C198+F198&lt;=ROUND($B$10,2)),C198+F198,ROUND($B$10,2)))</f>
        <v/>
      </c>
      <c r="E198" s="8">
        <f>D198-F198</f>
        <v/>
      </c>
      <c r="F198" s="8">
        <f>ROUND(C198*$B$8,2)</f>
        <v/>
      </c>
      <c r="G198" s="8">
        <f>ROUND(C198-E198,2)</f>
        <v/>
      </c>
    </row>
    <row r="199">
      <c r="A199" s="45">
        <f>A198+1</f>
        <v/>
      </c>
      <c r="B199" s="45">
        <f>ROUNDUP(A199/12,0)</f>
        <v/>
      </c>
      <c r="C199" s="8">
        <f>G198</f>
        <v/>
      </c>
      <c r="D199" s="8">
        <f>IF(A199&lt;=$B$7,F199,IF(OR(A199=$B$12,C199+F199&lt;=ROUND($B$10,2)),C199+F199,ROUND($B$10,2)))</f>
        <v/>
      </c>
      <c r="E199" s="8">
        <f>D199-F199</f>
        <v/>
      </c>
      <c r="F199" s="8">
        <f>ROUND(C199*$B$8,2)</f>
        <v/>
      </c>
      <c r="G199" s="8">
        <f>ROUND(C199-E199,2)</f>
        <v/>
      </c>
    </row>
    <row r="200">
      <c r="A200" s="45">
        <f>A199+1</f>
        <v/>
      </c>
      <c r="B200" s="45">
        <f>ROUNDUP(A200/12,0)</f>
        <v/>
      </c>
      <c r="C200" s="8">
        <f>G199</f>
        <v/>
      </c>
      <c r="D200" s="8">
        <f>IF(A200&lt;=$B$7,F200,IF(OR(A200=$B$12,C200+F200&lt;=ROUND($B$10,2)),C200+F200,ROUND($B$10,2)))</f>
        <v/>
      </c>
      <c r="E200" s="8">
        <f>D200-F200</f>
        <v/>
      </c>
      <c r="F200" s="8">
        <f>ROUND(C200*$B$8,2)</f>
        <v/>
      </c>
      <c r="G200" s="8">
        <f>ROUND(C200-E200,2)</f>
        <v/>
      </c>
    </row>
    <row r="201">
      <c r="A201" s="45">
        <f>A200+1</f>
        <v/>
      </c>
      <c r="B201" s="45">
        <f>ROUNDUP(A201/12,0)</f>
        <v/>
      </c>
      <c r="C201" s="8">
        <f>G200</f>
        <v/>
      </c>
      <c r="D201" s="8">
        <f>IF(A201&lt;=$B$7,F201,IF(OR(A201=$B$12,C201+F201&lt;=ROUND($B$10,2)),C201+F201,ROUND($B$10,2)))</f>
        <v/>
      </c>
      <c r="E201" s="8">
        <f>D201-F201</f>
        <v/>
      </c>
      <c r="F201" s="8">
        <f>ROUND(C201*$B$8,2)</f>
        <v/>
      </c>
      <c r="G201" s="8">
        <f>ROUND(C201-E201,2)</f>
        <v/>
      </c>
    </row>
    <row r="202">
      <c r="A202" s="45">
        <f>A201+1</f>
        <v/>
      </c>
      <c r="B202" s="45">
        <f>ROUNDUP(A202/12,0)</f>
        <v/>
      </c>
      <c r="C202" s="8">
        <f>G201</f>
        <v/>
      </c>
      <c r="D202" s="8">
        <f>IF(A202&lt;=$B$7,F202,IF(OR(A202=$B$12,C202+F202&lt;=ROUND($B$10,2)),C202+F202,ROUND($B$10,2)))</f>
        <v/>
      </c>
      <c r="E202" s="8">
        <f>D202-F202</f>
        <v/>
      </c>
      <c r="F202" s="8">
        <f>ROUND(C202*$B$8,2)</f>
        <v/>
      </c>
      <c r="G202" s="8">
        <f>ROUND(C202-E202,2)</f>
        <v/>
      </c>
    </row>
    <row r="203">
      <c r="A203" s="45">
        <f>A202+1</f>
        <v/>
      </c>
      <c r="B203" s="45">
        <f>ROUNDUP(A203/12,0)</f>
        <v/>
      </c>
      <c r="C203" s="8">
        <f>G202</f>
        <v/>
      </c>
      <c r="D203" s="8">
        <f>IF(A203&lt;=$B$7,F203,IF(OR(A203=$B$12,C203+F203&lt;=ROUND($B$10,2)),C203+F203,ROUND($B$10,2)))</f>
        <v/>
      </c>
      <c r="E203" s="8">
        <f>D203-F203</f>
        <v/>
      </c>
      <c r="F203" s="8">
        <f>ROUND(C203*$B$8,2)</f>
        <v/>
      </c>
      <c r="G203" s="8">
        <f>ROUND(C203-E203,2)</f>
        <v/>
      </c>
    </row>
    <row r="204">
      <c r="A204" s="45">
        <f>A203+1</f>
        <v/>
      </c>
      <c r="B204" s="45">
        <f>ROUNDUP(A204/12,0)</f>
        <v/>
      </c>
      <c r="C204" s="8">
        <f>G203</f>
        <v/>
      </c>
      <c r="D204" s="8">
        <f>IF(A204&lt;=$B$7,F204,IF(OR(A204=$B$12,C204+F204&lt;=ROUND($B$10,2)),C204+F204,ROUND($B$10,2)))</f>
        <v/>
      </c>
      <c r="E204" s="8">
        <f>D204-F204</f>
        <v/>
      </c>
      <c r="F204" s="8">
        <f>ROUND(C204*$B$8,2)</f>
        <v/>
      </c>
      <c r="G204" s="8">
        <f>ROUND(C204-E204,2)</f>
        <v/>
      </c>
    </row>
    <row r="205">
      <c r="A205" s="45">
        <f>A204+1</f>
        <v/>
      </c>
      <c r="B205" s="45">
        <f>ROUNDUP(A205/12,0)</f>
        <v/>
      </c>
      <c r="C205" s="8">
        <f>G204</f>
        <v/>
      </c>
      <c r="D205" s="8">
        <f>IF(A205&lt;=$B$7,F205,IF(OR(A205=$B$12,C205+F205&lt;=ROUND($B$10,2)),C205+F205,ROUND($B$10,2)))</f>
        <v/>
      </c>
      <c r="E205" s="8">
        <f>D205-F205</f>
        <v/>
      </c>
      <c r="F205" s="8">
        <f>ROUND(C205*$B$8,2)</f>
        <v/>
      </c>
      <c r="G205" s="8">
        <f>ROUND(C205-E205,2)</f>
        <v/>
      </c>
    </row>
    <row r="206">
      <c r="A206" s="45">
        <f>A205+1</f>
        <v/>
      </c>
      <c r="B206" s="45">
        <f>ROUNDUP(A206/12,0)</f>
        <v/>
      </c>
      <c r="C206" s="8">
        <f>G205</f>
        <v/>
      </c>
      <c r="D206" s="8">
        <f>IF(A206&lt;=$B$7,F206,IF(OR(A206=$B$12,C206+F206&lt;=ROUND($B$10,2)),C206+F206,ROUND($B$10,2)))</f>
        <v/>
      </c>
      <c r="E206" s="8">
        <f>D206-F206</f>
        <v/>
      </c>
      <c r="F206" s="8">
        <f>ROUND(C206*$B$8,2)</f>
        <v/>
      </c>
      <c r="G206" s="8">
        <f>ROUND(C206-E206,2)</f>
        <v/>
      </c>
    </row>
    <row r="207">
      <c r="A207" s="45">
        <f>A206+1</f>
        <v/>
      </c>
      <c r="B207" s="45">
        <f>ROUNDUP(A207/12,0)</f>
        <v/>
      </c>
      <c r="C207" s="8">
        <f>G206</f>
        <v/>
      </c>
      <c r="D207" s="8">
        <f>IF(A207&lt;=$B$7,F207,IF(OR(A207=$B$12,C207+F207&lt;=ROUND($B$10,2)),C207+F207,ROUND($B$10,2)))</f>
        <v/>
      </c>
      <c r="E207" s="8">
        <f>D207-F207</f>
        <v/>
      </c>
      <c r="F207" s="8">
        <f>ROUND(C207*$B$8,2)</f>
        <v/>
      </c>
      <c r="G207" s="8">
        <f>ROUND(C207-E207,2)</f>
        <v/>
      </c>
    </row>
    <row r="208">
      <c r="A208" s="45">
        <f>A207+1</f>
        <v/>
      </c>
      <c r="B208" s="45">
        <f>ROUNDUP(A208/12,0)</f>
        <v/>
      </c>
      <c r="C208" s="8">
        <f>G207</f>
        <v/>
      </c>
      <c r="D208" s="8">
        <f>IF(A208&lt;=$B$7,F208,IF(OR(A208=$B$12,C208+F208&lt;=ROUND($B$10,2)),C208+F208,ROUND($B$10,2)))</f>
        <v/>
      </c>
      <c r="E208" s="8">
        <f>D208-F208</f>
        <v/>
      </c>
      <c r="F208" s="8">
        <f>ROUND(C208*$B$8,2)</f>
        <v/>
      </c>
      <c r="G208" s="8">
        <f>ROUND(C208-E208,2)</f>
        <v/>
      </c>
    </row>
    <row r="209">
      <c r="A209" s="45">
        <f>A208+1</f>
        <v/>
      </c>
      <c r="B209" s="45">
        <f>ROUNDUP(A209/12,0)</f>
        <v/>
      </c>
      <c r="C209" s="8">
        <f>G208</f>
        <v/>
      </c>
      <c r="D209" s="8">
        <f>IF(A209&lt;=$B$7,F209,IF(OR(A209=$B$12,C209+F209&lt;=ROUND($B$10,2)),C209+F209,ROUND($B$10,2)))</f>
        <v/>
      </c>
      <c r="E209" s="8">
        <f>D209-F209</f>
        <v/>
      </c>
      <c r="F209" s="8">
        <f>ROUND(C209*$B$8,2)</f>
        <v/>
      </c>
      <c r="G209" s="8">
        <f>ROUND(C209-E209,2)</f>
        <v/>
      </c>
    </row>
    <row r="210">
      <c r="A210" s="45">
        <f>A209+1</f>
        <v/>
      </c>
      <c r="B210" s="45">
        <f>ROUNDUP(A210/12,0)</f>
        <v/>
      </c>
      <c r="C210" s="8">
        <f>G209</f>
        <v/>
      </c>
      <c r="D210" s="8">
        <f>IF(A210&lt;=$B$7,F210,IF(OR(A210=$B$12,C210+F210&lt;=ROUND($B$10,2)),C210+F210,ROUND($B$10,2)))</f>
        <v/>
      </c>
      <c r="E210" s="8">
        <f>D210-F210</f>
        <v/>
      </c>
      <c r="F210" s="8">
        <f>ROUND(C210*$B$8,2)</f>
        <v/>
      </c>
      <c r="G210" s="8">
        <f>ROUND(C210-E210,2)</f>
        <v/>
      </c>
    </row>
    <row r="211">
      <c r="A211" s="45">
        <f>A210+1</f>
        <v/>
      </c>
      <c r="B211" s="45">
        <f>ROUNDUP(A211/12,0)</f>
        <v/>
      </c>
      <c r="C211" s="8">
        <f>G210</f>
        <v/>
      </c>
      <c r="D211" s="8">
        <f>IF(A211&lt;=$B$7,F211,IF(OR(A211=$B$12,C211+F211&lt;=ROUND($B$10,2)),C211+F211,ROUND($B$10,2)))</f>
        <v/>
      </c>
      <c r="E211" s="8">
        <f>D211-F211</f>
        <v/>
      </c>
      <c r="F211" s="8">
        <f>ROUND(C211*$B$8,2)</f>
        <v/>
      </c>
      <c r="G211" s="8">
        <f>ROUND(C211-E211,2)</f>
        <v/>
      </c>
    </row>
    <row r="212">
      <c r="A212" s="45">
        <f>A211+1</f>
        <v/>
      </c>
      <c r="B212" s="45">
        <f>ROUNDUP(A212/12,0)</f>
        <v/>
      </c>
      <c r="C212" s="8">
        <f>G211</f>
        <v/>
      </c>
      <c r="D212" s="8">
        <f>IF(A212&lt;=$B$7,F212,IF(OR(A212=$B$12,C212+F212&lt;=ROUND($B$10,2)),C212+F212,ROUND($B$10,2)))</f>
        <v/>
      </c>
      <c r="E212" s="8">
        <f>D212-F212</f>
        <v/>
      </c>
      <c r="F212" s="8">
        <f>ROUND(C212*$B$8,2)</f>
        <v/>
      </c>
      <c r="G212" s="8">
        <f>ROUND(C212-E212,2)</f>
        <v/>
      </c>
    </row>
    <row r="213">
      <c r="A213" s="45">
        <f>A212+1</f>
        <v/>
      </c>
      <c r="B213" s="45">
        <f>ROUNDUP(A213/12,0)</f>
        <v/>
      </c>
      <c r="C213" s="8">
        <f>G212</f>
        <v/>
      </c>
      <c r="D213" s="8">
        <f>IF(A213&lt;=$B$7,F213,IF(OR(A213=$B$12,C213+F213&lt;=ROUND($B$10,2)),C213+F213,ROUND($B$10,2)))</f>
        <v/>
      </c>
      <c r="E213" s="8">
        <f>D213-F213</f>
        <v/>
      </c>
      <c r="F213" s="8">
        <f>ROUND(C213*$B$8,2)</f>
        <v/>
      </c>
      <c r="G213" s="8">
        <f>ROUND(C213-E213,2)</f>
        <v/>
      </c>
    </row>
    <row r="214">
      <c r="A214" s="45">
        <f>A213+1</f>
        <v/>
      </c>
      <c r="B214" s="45">
        <f>ROUNDUP(A214/12,0)</f>
        <v/>
      </c>
      <c r="C214" s="8">
        <f>G213</f>
        <v/>
      </c>
      <c r="D214" s="8">
        <f>IF(A214&lt;=$B$7,F214,IF(OR(A214=$B$12,C214+F214&lt;=ROUND($B$10,2)),C214+F214,ROUND($B$10,2)))</f>
        <v/>
      </c>
      <c r="E214" s="8">
        <f>D214-F214</f>
        <v/>
      </c>
      <c r="F214" s="8">
        <f>ROUND(C214*$B$8,2)</f>
        <v/>
      </c>
      <c r="G214" s="8">
        <f>ROUND(C214-E214,2)</f>
        <v/>
      </c>
    </row>
    <row r="215">
      <c r="A215" s="45">
        <f>A214+1</f>
        <v/>
      </c>
      <c r="B215" s="45">
        <f>ROUNDUP(A215/12,0)</f>
        <v/>
      </c>
      <c r="C215" s="8">
        <f>G214</f>
        <v/>
      </c>
      <c r="D215" s="8">
        <f>IF(A215&lt;=$B$7,F215,IF(OR(A215=$B$12,C215+F215&lt;=ROUND($B$10,2)),C215+F215,ROUND($B$10,2)))</f>
        <v/>
      </c>
      <c r="E215" s="8">
        <f>D215-F215</f>
        <v/>
      </c>
      <c r="F215" s="8">
        <f>ROUND(C215*$B$8,2)</f>
        <v/>
      </c>
      <c r="G215" s="8">
        <f>ROUND(C215-E215,2)</f>
        <v/>
      </c>
    </row>
    <row r="216">
      <c r="A216" s="45">
        <f>A215+1</f>
        <v/>
      </c>
      <c r="B216" s="45">
        <f>ROUNDUP(A216/12,0)</f>
        <v/>
      </c>
      <c r="C216" s="8">
        <f>G215</f>
        <v/>
      </c>
      <c r="D216" s="8">
        <f>IF(A216&lt;=$B$7,F216,IF(OR(A216=$B$12,C216+F216&lt;=ROUND($B$10,2)),C216+F216,ROUND($B$10,2)))</f>
        <v/>
      </c>
      <c r="E216" s="8">
        <f>D216-F216</f>
        <v/>
      </c>
      <c r="F216" s="8">
        <f>ROUND(C216*$B$8,2)</f>
        <v/>
      </c>
      <c r="G216" s="8">
        <f>ROUND(C216-E216,2)</f>
        <v/>
      </c>
    </row>
    <row r="217">
      <c r="A217" s="45">
        <f>A216+1</f>
        <v/>
      </c>
      <c r="B217" s="45">
        <f>ROUNDUP(A217/12,0)</f>
        <v/>
      </c>
      <c r="C217" s="8">
        <f>G216</f>
        <v/>
      </c>
      <c r="D217" s="8">
        <f>IF(A217&lt;=$B$7,F217,IF(OR(A217=$B$12,C217+F217&lt;=ROUND($B$10,2)),C217+F217,ROUND($B$10,2)))</f>
        <v/>
      </c>
      <c r="E217" s="8">
        <f>D217-F217</f>
        <v/>
      </c>
      <c r="F217" s="8">
        <f>ROUND(C217*$B$8,2)</f>
        <v/>
      </c>
      <c r="G217" s="8">
        <f>ROUND(C217-E217,2)</f>
        <v/>
      </c>
    </row>
    <row r="218">
      <c r="A218" s="45">
        <f>A217+1</f>
        <v/>
      </c>
      <c r="B218" s="45">
        <f>ROUNDUP(A218/12,0)</f>
        <v/>
      </c>
      <c r="C218" s="8">
        <f>G217</f>
        <v/>
      </c>
      <c r="D218" s="8">
        <f>IF(A218&lt;=$B$7,F218,IF(OR(A218=$B$12,C218+F218&lt;=ROUND($B$10,2)),C218+F218,ROUND($B$10,2)))</f>
        <v/>
      </c>
      <c r="E218" s="8">
        <f>D218-F218</f>
        <v/>
      </c>
      <c r="F218" s="8">
        <f>ROUND(C218*$B$8,2)</f>
        <v/>
      </c>
      <c r="G218" s="8">
        <f>ROUND(C218-E218,2)</f>
        <v/>
      </c>
    </row>
    <row r="219">
      <c r="A219" s="45">
        <f>A218+1</f>
        <v/>
      </c>
      <c r="B219" s="45">
        <f>ROUNDUP(A219/12,0)</f>
        <v/>
      </c>
      <c r="C219" s="8">
        <f>G218</f>
        <v/>
      </c>
      <c r="D219" s="8">
        <f>IF(A219&lt;=$B$7,F219,IF(OR(A219=$B$12,C219+F219&lt;=ROUND($B$10,2)),C219+F219,ROUND($B$10,2)))</f>
        <v/>
      </c>
      <c r="E219" s="8">
        <f>D219-F219</f>
        <v/>
      </c>
      <c r="F219" s="8">
        <f>ROUND(C219*$B$8,2)</f>
        <v/>
      </c>
      <c r="G219" s="8">
        <f>ROUND(C219-E219,2)</f>
        <v/>
      </c>
    </row>
    <row r="220">
      <c r="A220" s="45">
        <f>A219+1</f>
        <v/>
      </c>
      <c r="B220" s="45">
        <f>ROUNDUP(A220/12,0)</f>
        <v/>
      </c>
      <c r="C220" s="8">
        <f>G219</f>
        <v/>
      </c>
      <c r="D220" s="8">
        <f>IF(A220&lt;=$B$7,F220,IF(OR(A220=$B$12,C220+F220&lt;=ROUND($B$10,2)),C220+F220,ROUND($B$10,2)))</f>
        <v/>
      </c>
      <c r="E220" s="8">
        <f>D220-F220</f>
        <v/>
      </c>
      <c r="F220" s="8">
        <f>ROUND(C220*$B$8,2)</f>
        <v/>
      </c>
      <c r="G220" s="8">
        <f>ROUND(C220-E220,2)</f>
        <v/>
      </c>
    </row>
    <row r="221">
      <c r="A221" s="45">
        <f>A220+1</f>
        <v/>
      </c>
      <c r="B221" s="45">
        <f>ROUNDUP(A221/12,0)</f>
        <v/>
      </c>
      <c r="C221" s="8">
        <f>G220</f>
        <v/>
      </c>
      <c r="D221" s="8">
        <f>IF(A221&lt;=$B$7,F221,IF(OR(A221=$B$12,C221+F221&lt;=ROUND($B$10,2)),C221+F221,ROUND($B$10,2)))</f>
        <v/>
      </c>
      <c r="E221" s="8">
        <f>D221-F221</f>
        <v/>
      </c>
      <c r="F221" s="8">
        <f>ROUND(C221*$B$8,2)</f>
        <v/>
      </c>
      <c r="G221" s="8">
        <f>ROUND(C221-E221,2)</f>
        <v/>
      </c>
    </row>
    <row r="222">
      <c r="A222" s="45">
        <f>A221+1</f>
        <v/>
      </c>
      <c r="B222" s="45">
        <f>ROUNDUP(A222/12,0)</f>
        <v/>
      </c>
      <c r="C222" s="8">
        <f>G221</f>
        <v/>
      </c>
      <c r="D222" s="8">
        <f>IF(A222&lt;=$B$7,F222,IF(OR(A222=$B$12,C222+F222&lt;=ROUND($B$10,2)),C222+F222,ROUND($B$10,2)))</f>
        <v/>
      </c>
      <c r="E222" s="8">
        <f>D222-F222</f>
        <v/>
      </c>
      <c r="F222" s="8">
        <f>ROUND(C222*$B$8,2)</f>
        <v/>
      </c>
      <c r="G222" s="8">
        <f>ROUND(C222-E222,2)</f>
        <v/>
      </c>
    </row>
    <row r="223">
      <c r="A223" s="45">
        <f>A222+1</f>
        <v/>
      </c>
      <c r="B223" s="45">
        <f>ROUNDUP(A223/12,0)</f>
        <v/>
      </c>
      <c r="C223" s="8">
        <f>G222</f>
        <v/>
      </c>
      <c r="D223" s="8">
        <f>IF(A223&lt;=$B$7,F223,IF(OR(A223=$B$12,C223+F223&lt;=ROUND($B$10,2)),C223+F223,ROUND($B$10,2)))</f>
        <v/>
      </c>
      <c r="E223" s="8">
        <f>D223-F223</f>
        <v/>
      </c>
      <c r="F223" s="8">
        <f>ROUND(C223*$B$8,2)</f>
        <v/>
      </c>
      <c r="G223" s="8">
        <f>ROUND(C223-E223,2)</f>
        <v/>
      </c>
    </row>
    <row r="224">
      <c r="A224" s="45">
        <f>A223+1</f>
        <v/>
      </c>
      <c r="B224" s="45">
        <f>ROUNDUP(A224/12,0)</f>
        <v/>
      </c>
      <c r="C224" s="8">
        <f>G223</f>
        <v/>
      </c>
      <c r="D224" s="8">
        <f>IF(A224&lt;=$B$7,F224,IF(OR(A224=$B$12,C224+F224&lt;=ROUND($B$10,2)),C224+F224,ROUND($B$10,2)))</f>
        <v/>
      </c>
      <c r="E224" s="8">
        <f>D224-F224</f>
        <v/>
      </c>
      <c r="F224" s="8">
        <f>ROUND(C224*$B$8,2)</f>
        <v/>
      </c>
      <c r="G224" s="8">
        <f>ROUND(C224-E224,2)</f>
        <v/>
      </c>
    </row>
    <row r="225">
      <c r="A225" s="45">
        <f>A224+1</f>
        <v/>
      </c>
      <c r="B225" s="45">
        <f>ROUNDUP(A225/12,0)</f>
        <v/>
      </c>
      <c r="C225" s="8">
        <f>G224</f>
        <v/>
      </c>
      <c r="D225" s="8">
        <f>IF(A225&lt;=$B$7,F225,IF(OR(A225=$B$12,C225+F225&lt;=ROUND($B$10,2)),C225+F225,ROUND($B$10,2)))</f>
        <v/>
      </c>
      <c r="E225" s="8">
        <f>D225-F225</f>
        <v/>
      </c>
      <c r="F225" s="8">
        <f>ROUND(C225*$B$8,2)</f>
        <v/>
      </c>
      <c r="G225" s="8">
        <f>ROUND(C225-E225,2)</f>
        <v/>
      </c>
    </row>
    <row r="226">
      <c r="A226" s="45">
        <f>A225+1</f>
        <v/>
      </c>
      <c r="B226" s="45">
        <f>ROUNDUP(A226/12,0)</f>
        <v/>
      </c>
      <c r="C226" s="8">
        <f>G225</f>
        <v/>
      </c>
      <c r="D226" s="8">
        <f>IF(A226&lt;=$B$7,F226,IF(OR(A226=$B$12,C226+F226&lt;=ROUND($B$10,2)),C226+F226,ROUND($B$10,2)))</f>
        <v/>
      </c>
      <c r="E226" s="8">
        <f>D226-F226</f>
        <v/>
      </c>
      <c r="F226" s="8">
        <f>ROUND(C226*$B$8,2)</f>
        <v/>
      </c>
      <c r="G226" s="8">
        <f>ROUND(C226-E226,2)</f>
        <v/>
      </c>
    </row>
    <row r="227">
      <c r="A227" s="45">
        <f>A226+1</f>
        <v/>
      </c>
      <c r="B227" s="45">
        <f>ROUNDUP(A227/12,0)</f>
        <v/>
      </c>
      <c r="C227" s="8">
        <f>G226</f>
        <v/>
      </c>
      <c r="D227" s="8">
        <f>IF(A227&lt;=$B$7,F227,IF(OR(A227=$B$12,C227+F227&lt;=ROUND($B$10,2)),C227+F227,ROUND($B$10,2)))</f>
        <v/>
      </c>
      <c r="E227" s="8">
        <f>D227-F227</f>
        <v/>
      </c>
      <c r="F227" s="8">
        <f>ROUND(C227*$B$8,2)</f>
        <v/>
      </c>
      <c r="G227" s="8">
        <f>ROUND(C227-E227,2)</f>
        <v/>
      </c>
    </row>
    <row r="228">
      <c r="A228" s="45">
        <f>A227+1</f>
        <v/>
      </c>
      <c r="B228" s="45">
        <f>ROUNDUP(A228/12,0)</f>
        <v/>
      </c>
      <c r="C228" s="8">
        <f>G227</f>
        <v/>
      </c>
      <c r="D228" s="8">
        <f>IF(A228&lt;=$B$7,F228,IF(OR(A228=$B$12,C228+F228&lt;=ROUND($B$10,2)),C228+F228,ROUND($B$10,2)))</f>
        <v/>
      </c>
      <c r="E228" s="8">
        <f>D228-F228</f>
        <v/>
      </c>
      <c r="F228" s="8">
        <f>ROUND(C228*$B$8,2)</f>
        <v/>
      </c>
      <c r="G228" s="8">
        <f>ROUND(C228-E228,2)</f>
        <v/>
      </c>
    </row>
    <row r="229">
      <c r="A229" s="45">
        <f>A228+1</f>
        <v/>
      </c>
      <c r="B229" s="45">
        <f>ROUNDUP(A229/12,0)</f>
        <v/>
      </c>
      <c r="C229" s="8">
        <f>G228</f>
        <v/>
      </c>
      <c r="D229" s="8">
        <f>IF(A229&lt;=$B$7,F229,IF(OR(A229=$B$12,C229+F229&lt;=ROUND($B$10,2)),C229+F229,ROUND($B$10,2)))</f>
        <v/>
      </c>
      <c r="E229" s="8">
        <f>D229-F229</f>
        <v/>
      </c>
      <c r="F229" s="8">
        <f>ROUND(C229*$B$8,2)</f>
        <v/>
      </c>
      <c r="G229" s="8">
        <f>ROUND(C229-E229,2)</f>
        <v/>
      </c>
    </row>
    <row r="230">
      <c r="A230" s="45">
        <f>A229+1</f>
        <v/>
      </c>
      <c r="B230" s="45">
        <f>ROUNDUP(A230/12,0)</f>
        <v/>
      </c>
      <c r="C230" s="8">
        <f>G229</f>
        <v/>
      </c>
      <c r="D230" s="8">
        <f>IF(A230&lt;=$B$7,F230,IF(OR(A230=$B$12,C230+F230&lt;=ROUND($B$10,2)),C230+F230,ROUND($B$10,2)))</f>
        <v/>
      </c>
      <c r="E230" s="8">
        <f>D230-F230</f>
        <v/>
      </c>
      <c r="F230" s="8">
        <f>ROUND(C230*$B$8,2)</f>
        <v/>
      </c>
      <c r="G230" s="8">
        <f>ROUND(C230-E230,2)</f>
        <v/>
      </c>
    </row>
    <row r="231">
      <c r="A231" s="45">
        <f>A230+1</f>
        <v/>
      </c>
      <c r="B231" s="45">
        <f>ROUNDUP(A231/12,0)</f>
        <v/>
      </c>
      <c r="C231" s="8">
        <f>G230</f>
        <v/>
      </c>
      <c r="D231" s="8">
        <f>IF(A231&lt;=$B$7,F231,IF(OR(A231=$B$12,C231+F231&lt;=ROUND($B$10,2)),C231+F231,ROUND($B$10,2)))</f>
        <v/>
      </c>
      <c r="E231" s="8">
        <f>D231-F231</f>
        <v/>
      </c>
      <c r="F231" s="8">
        <f>ROUND(C231*$B$8,2)</f>
        <v/>
      </c>
      <c r="G231" s="8">
        <f>ROUND(C231-E231,2)</f>
        <v/>
      </c>
    </row>
    <row r="232">
      <c r="A232" s="45">
        <f>A231+1</f>
        <v/>
      </c>
      <c r="B232" s="45">
        <f>ROUNDUP(A232/12,0)</f>
        <v/>
      </c>
      <c r="C232" s="8">
        <f>G231</f>
        <v/>
      </c>
      <c r="D232" s="8">
        <f>IF(A232&lt;=$B$7,F232,IF(OR(A232=$B$12,C232+F232&lt;=ROUND($B$10,2)),C232+F232,ROUND($B$10,2)))</f>
        <v/>
      </c>
      <c r="E232" s="8">
        <f>D232-F232</f>
        <v/>
      </c>
      <c r="F232" s="8">
        <f>ROUND(C232*$B$8,2)</f>
        <v/>
      </c>
      <c r="G232" s="8">
        <f>ROUND(C232-E232,2)</f>
        <v/>
      </c>
    </row>
    <row r="233">
      <c r="A233" s="45">
        <f>A232+1</f>
        <v/>
      </c>
      <c r="B233" s="45">
        <f>ROUNDUP(A233/12,0)</f>
        <v/>
      </c>
      <c r="C233" s="8">
        <f>G232</f>
        <v/>
      </c>
      <c r="D233" s="8">
        <f>IF(A233&lt;=$B$7,F233,IF(OR(A233=$B$12,C233+F233&lt;=ROUND($B$10,2)),C233+F233,ROUND($B$10,2)))</f>
        <v/>
      </c>
      <c r="E233" s="8">
        <f>D233-F233</f>
        <v/>
      </c>
      <c r="F233" s="8">
        <f>ROUND(C233*$B$8,2)</f>
        <v/>
      </c>
      <c r="G233" s="8">
        <f>ROUND(C233-E233,2)</f>
        <v/>
      </c>
    </row>
    <row r="234">
      <c r="A234" s="45">
        <f>A233+1</f>
        <v/>
      </c>
      <c r="B234" s="45">
        <f>ROUNDUP(A234/12,0)</f>
        <v/>
      </c>
      <c r="C234" s="8">
        <f>G233</f>
        <v/>
      </c>
      <c r="D234" s="8">
        <f>IF(A234&lt;=$B$7,F234,IF(OR(A234=$B$12,C234+F234&lt;=ROUND($B$10,2)),C234+F234,ROUND($B$10,2)))</f>
        <v/>
      </c>
      <c r="E234" s="8">
        <f>D234-F234</f>
        <v/>
      </c>
      <c r="F234" s="8">
        <f>ROUND(C234*$B$8,2)</f>
        <v/>
      </c>
      <c r="G234" s="8">
        <f>ROUND(C234-E234,2)</f>
        <v/>
      </c>
    </row>
    <row r="235">
      <c r="A235" s="45">
        <f>A234+1</f>
        <v/>
      </c>
      <c r="B235" s="45">
        <f>ROUNDUP(A235/12,0)</f>
        <v/>
      </c>
      <c r="C235" s="8">
        <f>G234</f>
        <v/>
      </c>
      <c r="D235" s="8">
        <f>IF(A235&lt;=$B$7,F235,IF(OR(A235=$B$12,C235+F235&lt;=ROUND($B$10,2)),C235+F235,ROUND($B$10,2)))</f>
        <v/>
      </c>
      <c r="E235" s="8">
        <f>D235-F235</f>
        <v/>
      </c>
      <c r="F235" s="8">
        <f>ROUND(C235*$B$8,2)</f>
        <v/>
      </c>
      <c r="G235" s="8">
        <f>ROUND(C235-E235,2)</f>
        <v/>
      </c>
    </row>
    <row r="236">
      <c r="A236" s="45">
        <f>A235+1</f>
        <v/>
      </c>
      <c r="B236" s="45">
        <f>ROUNDUP(A236/12,0)</f>
        <v/>
      </c>
      <c r="C236" s="8">
        <f>G235</f>
        <v/>
      </c>
      <c r="D236" s="8">
        <f>IF(A236&lt;=$B$7,F236,IF(OR(A236=$B$12,C236+F236&lt;=ROUND($B$10,2)),C236+F236,ROUND($B$10,2)))</f>
        <v/>
      </c>
      <c r="E236" s="8">
        <f>D236-F236</f>
        <v/>
      </c>
      <c r="F236" s="8">
        <f>ROUND(C236*$B$8,2)</f>
        <v/>
      </c>
      <c r="G236" s="8">
        <f>ROUND(C236-E236,2)</f>
        <v/>
      </c>
    </row>
    <row r="237">
      <c r="A237" s="45">
        <f>A236+1</f>
        <v/>
      </c>
      <c r="B237" s="45">
        <f>ROUNDUP(A237/12,0)</f>
        <v/>
      </c>
      <c r="C237" s="8">
        <f>G236</f>
        <v/>
      </c>
      <c r="D237" s="8">
        <f>IF(A237&lt;=$B$7,F237,IF(OR(A237=$B$12,C237+F237&lt;=ROUND($B$10,2)),C237+F237,ROUND($B$10,2)))</f>
        <v/>
      </c>
      <c r="E237" s="8">
        <f>D237-F237</f>
        <v/>
      </c>
      <c r="F237" s="8">
        <f>ROUND(C237*$B$8,2)</f>
        <v/>
      </c>
      <c r="G237" s="8">
        <f>ROUND(C237-E237,2)</f>
        <v/>
      </c>
    </row>
    <row r="238">
      <c r="A238" s="45">
        <f>A237+1</f>
        <v/>
      </c>
      <c r="B238" s="45">
        <f>ROUNDUP(A238/12,0)</f>
        <v/>
      </c>
      <c r="C238" s="8">
        <f>G237</f>
        <v/>
      </c>
      <c r="D238" s="8">
        <f>IF(A238&lt;=$B$7,F238,IF(OR(A238=$B$12,C238+F238&lt;=ROUND($B$10,2)),C238+F238,ROUND($B$10,2)))</f>
        <v/>
      </c>
      <c r="E238" s="8">
        <f>D238-F238</f>
        <v/>
      </c>
      <c r="F238" s="8">
        <f>ROUND(C238*$B$8,2)</f>
        <v/>
      </c>
      <c r="G238" s="8">
        <f>ROUND(C238-E238,2)</f>
        <v/>
      </c>
    </row>
    <row r="239">
      <c r="A239" s="45">
        <f>A238+1</f>
        <v/>
      </c>
      <c r="B239" s="45">
        <f>ROUNDUP(A239/12,0)</f>
        <v/>
      </c>
      <c r="C239" s="8">
        <f>G238</f>
        <v/>
      </c>
      <c r="D239" s="8">
        <f>IF(A239&lt;=$B$7,F239,IF(OR(A239=$B$12,C239+F239&lt;=ROUND($B$10,2)),C239+F239,ROUND($B$10,2)))</f>
        <v/>
      </c>
      <c r="E239" s="8">
        <f>D239-F239</f>
        <v/>
      </c>
      <c r="F239" s="8">
        <f>ROUND(C239*$B$8,2)</f>
        <v/>
      </c>
      <c r="G239" s="8">
        <f>ROUND(C239-E239,2)</f>
        <v/>
      </c>
    </row>
    <row r="240">
      <c r="A240" s="45">
        <f>A239+1</f>
        <v/>
      </c>
      <c r="B240" s="45">
        <f>ROUNDUP(A240/12,0)</f>
        <v/>
      </c>
      <c r="C240" s="8">
        <f>G239</f>
        <v/>
      </c>
      <c r="D240" s="8">
        <f>IF(A240&lt;=$B$7,F240,IF(OR(A240=$B$12,C240+F240&lt;=ROUND($B$10,2)),C240+F240,ROUND($B$10,2)))</f>
        <v/>
      </c>
      <c r="E240" s="8">
        <f>D240-F240</f>
        <v/>
      </c>
      <c r="F240" s="8">
        <f>ROUND(C240*$B$8,2)</f>
        <v/>
      </c>
      <c r="G240" s="8">
        <f>ROUND(C240-E240,2)</f>
        <v/>
      </c>
    </row>
    <row r="241">
      <c r="A241" s="45">
        <f>A240+1</f>
        <v/>
      </c>
      <c r="B241" s="45">
        <f>ROUNDUP(A241/12,0)</f>
        <v/>
      </c>
      <c r="C241" s="8">
        <f>G240</f>
        <v/>
      </c>
      <c r="D241" s="8">
        <f>IF(A241&lt;=$B$7,F241,IF(OR(A241=$B$12,C241+F241&lt;=ROUND($B$10,2)),C241+F241,ROUND($B$10,2)))</f>
        <v/>
      </c>
      <c r="E241" s="8">
        <f>D241-F241</f>
        <v/>
      </c>
      <c r="F241" s="8">
        <f>ROUND(C241*$B$8,2)</f>
        <v/>
      </c>
      <c r="G241" s="8">
        <f>ROUND(C241-E241,2)</f>
        <v/>
      </c>
    </row>
    <row r="242">
      <c r="A242" s="45">
        <f>A241+1</f>
        <v/>
      </c>
      <c r="B242" s="45">
        <f>ROUNDUP(A242/12,0)</f>
        <v/>
      </c>
      <c r="C242" s="8">
        <f>G241</f>
        <v/>
      </c>
      <c r="D242" s="8">
        <f>IF(A242&lt;=$B$7,F242,IF(OR(A242=$B$12,C242+F242&lt;=ROUND($B$10,2)),C242+F242,ROUND($B$10,2)))</f>
        <v/>
      </c>
      <c r="E242" s="8">
        <f>D242-F242</f>
        <v/>
      </c>
      <c r="F242" s="8">
        <f>ROUND(C242*$B$8,2)</f>
        <v/>
      </c>
      <c r="G242" s="8">
        <f>ROUND(C242-E242,2)</f>
        <v/>
      </c>
    </row>
    <row r="243">
      <c r="A243" s="45">
        <f>A242+1</f>
        <v/>
      </c>
      <c r="B243" s="45">
        <f>ROUNDUP(A243/12,0)</f>
        <v/>
      </c>
      <c r="C243" s="8">
        <f>G242</f>
        <v/>
      </c>
      <c r="D243" s="8">
        <f>IF(A243&lt;=$B$7,F243,IF(OR(A243=$B$12,C243+F243&lt;=ROUND($B$10,2)),C243+F243,ROUND($B$10,2)))</f>
        <v/>
      </c>
      <c r="E243" s="8">
        <f>D243-F243</f>
        <v/>
      </c>
      <c r="F243" s="8">
        <f>ROUND(C243*$B$8,2)</f>
        <v/>
      </c>
      <c r="G243" s="8">
        <f>ROUND(C243-E243,2)</f>
        <v/>
      </c>
    </row>
    <row r="244">
      <c r="A244" s="45">
        <f>A243+1</f>
        <v/>
      </c>
      <c r="B244" s="45">
        <f>ROUNDUP(A244/12,0)</f>
        <v/>
      </c>
      <c r="C244" s="8">
        <f>G243</f>
        <v/>
      </c>
      <c r="D244" s="8">
        <f>IF(A244&lt;=$B$7,F244,IF(OR(A244=$B$12,C244+F244&lt;=ROUND($B$10,2)),C244+F244,ROUND($B$10,2)))</f>
        <v/>
      </c>
      <c r="E244" s="8">
        <f>D244-F244</f>
        <v/>
      </c>
      <c r="F244" s="8">
        <f>ROUND(C244*$B$8,2)</f>
        <v/>
      </c>
      <c r="G244" s="8">
        <f>ROUND(C244-E244,2)</f>
        <v/>
      </c>
    </row>
    <row r="245">
      <c r="A245" s="45">
        <f>A244+1</f>
        <v/>
      </c>
      <c r="B245" s="45">
        <f>ROUNDUP(A245/12,0)</f>
        <v/>
      </c>
      <c r="C245" s="8">
        <f>G244</f>
        <v/>
      </c>
      <c r="D245" s="8">
        <f>IF(A245&lt;=$B$7,F245,IF(OR(A245=$B$12,C245+F245&lt;=ROUND($B$10,2)),C245+F245,ROUND($B$10,2)))</f>
        <v/>
      </c>
      <c r="E245" s="8">
        <f>D245-F245</f>
        <v/>
      </c>
      <c r="F245" s="8">
        <f>ROUND(C245*$B$8,2)</f>
        <v/>
      </c>
      <c r="G245" s="8">
        <f>ROUND(C245-E245,2)</f>
        <v/>
      </c>
    </row>
    <row r="246">
      <c r="A246" s="45">
        <f>A245+1</f>
        <v/>
      </c>
      <c r="B246" s="45">
        <f>ROUNDUP(A246/12,0)</f>
        <v/>
      </c>
      <c r="C246" s="8">
        <f>G245</f>
        <v/>
      </c>
      <c r="D246" s="8">
        <f>IF(A246&lt;=$B$7,F246,IF(OR(A246=$B$12,C246+F246&lt;=ROUND($B$10,2)),C246+F246,ROUND($B$10,2)))</f>
        <v/>
      </c>
      <c r="E246" s="8">
        <f>D246-F246</f>
        <v/>
      </c>
      <c r="F246" s="8">
        <f>ROUND(C246*$B$8,2)</f>
        <v/>
      </c>
      <c r="G246" s="8">
        <f>ROUND(C246-E246,2)</f>
        <v/>
      </c>
    </row>
    <row r="247">
      <c r="A247" s="45">
        <f>A246+1</f>
        <v/>
      </c>
      <c r="B247" s="45">
        <f>ROUNDUP(A247/12,0)</f>
        <v/>
      </c>
      <c r="C247" s="8">
        <f>G246</f>
        <v/>
      </c>
      <c r="D247" s="8">
        <f>IF(A247&lt;=$B$7,F247,IF(OR(A247=$B$12,C247+F247&lt;=ROUND($B$10,2)),C247+F247,ROUND($B$10,2)))</f>
        <v/>
      </c>
      <c r="E247" s="8">
        <f>D247-F247</f>
        <v/>
      </c>
      <c r="F247" s="8">
        <f>ROUND(C247*$B$8,2)</f>
        <v/>
      </c>
      <c r="G247" s="8">
        <f>ROUND(C247-E247,2)</f>
        <v/>
      </c>
    </row>
    <row r="248">
      <c r="A248" s="45">
        <f>A247+1</f>
        <v/>
      </c>
      <c r="B248" s="45">
        <f>ROUNDUP(A248/12,0)</f>
        <v/>
      </c>
      <c r="C248" s="8">
        <f>G247</f>
        <v/>
      </c>
      <c r="D248" s="8">
        <f>IF(A248&lt;=$B$7,F248,IF(OR(A248=$B$12,C248+F248&lt;=ROUND($B$10,2)),C248+F248,ROUND($B$10,2)))</f>
        <v/>
      </c>
      <c r="E248" s="8">
        <f>D248-F248</f>
        <v/>
      </c>
      <c r="F248" s="8">
        <f>ROUND(C248*$B$8,2)</f>
        <v/>
      </c>
      <c r="G248" s="8">
        <f>ROUND(C248-E248,2)</f>
        <v/>
      </c>
    </row>
    <row r="249">
      <c r="A249" s="45">
        <f>A248+1</f>
        <v/>
      </c>
      <c r="B249" s="45">
        <f>ROUNDUP(A249/12,0)</f>
        <v/>
      </c>
      <c r="C249" s="8">
        <f>G248</f>
        <v/>
      </c>
      <c r="D249" s="8">
        <f>IF(A249&lt;=$B$7,F249,IF(OR(A249=$B$12,C249+F249&lt;=ROUND($B$10,2)),C249+F249,ROUND($B$10,2)))</f>
        <v/>
      </c>
      <c r="E249" s="8">
        <f>D249-F249</f>
        <v/>
      </c>
      <c r="F249" s="8">
        <f>ROUND(C249*$B$8,2)</f>
        <v/>
      </c>
      <c r="G249" s="8">
        <f>ROUND(C249-E249,2)</f>
        <v/>
      </c>
    </row>
    <row r="250">
      <c r="A250" s="45">
        <f>A249+1</f>
        <v/>
      </c>
      <c r="B250" s="45">
        <f>ROUNDUP(A250/12,0)</f>
        <v/>
      </c>
      <c r="C250" s="8">
        <f>G249</f>
        <v/>
      </c>
      <c r="D250" s="8">
        <f>IF(A250&lt;=$B$7,F250,IF(OR(A250=$B$12,C250+F250&lt;=ROUND($B$10,2)),C250+F250,ROUND($B$10,2)))</f>
        <v/>
      </c>
      <c r="E250" s="8">
        <f>D250-F250</f>
        <v/>
      </c>
      <c r="F250" s="8">
        <f>ROUND(C250*$B$8,2)</f>
        <v/>
      </c>
      <c r="G250" s="8">
        <f>ROUND(C250-E250,2)</f>
        <v/>
      </c>
    </row>
    <row r="251">
      <c r="A251" s="45">
        <f>A250+1</f>
        <v/>
      </c>
      <c r="B251" s="45">
        <f>ROUNDUP(A251/12,0)</f>
        <v/>
      </c>
      <c r="C251" s="8">
        <f>G250</f>
        <v/>
      </c>
      <c r="D251" s="8">
        <f>IF(A251&lt;=$B$7,F251,IF(OR(A251=$B$12,C251+F251&lt;=ROUND($B$10,2)),C251+F251,ROUND($B$10,2)))</f>
        <v/>
      </c>
      <c r="E251" s="8">
        <f>D251-F251</f>
        <v/>
      </c>
      <c r="F251" s="8">
        <f>ROUND(C251*$B$8,2)</f>
        <v/>
      </c>
      <c r="G251" s="8">
        <f>ROUND(C251-E251,2)</f>
        <v/>
      </c>
    </row>
    <row r="252">
      <c r="A252" s="45">
        <f>A251+1</f>
        <v/>
      </c>
      <c r="B252" s="45">
        <f>ROUNDUP(A252/12,0)</f>
        <v/>
      </c>
      <c r="C252" s="8">
        <f>G251</f>
        <v/>
      </c>
      <c r="D252" s="8">
        <f>IF(A252&lt;=$B$7,F252,IF(OR(A252=$B$12,C252+F252&lt;=ROUND($B$10,2)),C252+F252,ROUND($B$10,2)))</f>
        <v/>
      </c>
      <c r="E252" s="8">
        <f>D252-F252</f>
        <v/>
      </c>
      <c r="F252" s="8">
        <f>ROUND(C252*$B$8,2)</f>
        <v/>
      </c>
      <c r="G252" s="8">
        <f>ROUND(C252-E252,2)</f>
        <v/>
      </c>
    </row>
    <row r="253">
      <c r="A253" s="45">
        <f>A252+1</f>
        <v/>
      </c>
      <c r="B253" s="45">
        <f>ROUNDUP(A253/12,0)</f>
        <v/>
      </c>
      <c r="C253" s="8">
        <f>G252</f>
        <v/>
      </c>
      <c r="D253" s="8">
        <f>IF(A253&lt;=$B$7,F253,IF(OR(A253=$B$12,C253+F253&lt;=ROUND($B$10,2)),C253+F253,ROUND($B$10,2)))</f>
        <v/>
      </c>
      <c r="E253" s="8">
        <f>D253-F253</f>
        <v/>
      </c>
      <c r="F253" s="8">
        <f>ROUND(C253*$B$8,2)</f>
        <v/>
      </c>
      <c r="G253" s="8">
        <f>ROUND(C253-E253,2)</f>
        <v/>
      </c>
    </row>
    <row r="254">
      <c r="A254" s="45">
        <f>A253+1</f>
        <v/>
      </c>
      <c r="B254" s="45">
        <f>ROUNDUP(A254/12,0)</f>
        <v/>
      </c>
      <c r="C254" s="8">
        <f>G253</f>
        <v/>
      </c>
      <c r="D254" s="8">
        <f>IF(A254&lt;=$B$7,F254,IF(OR(A254=$B$12,C254+F254&lt;=ROUND($B$10,2)),C254+F254,ROUND($B$10,2)))</f>
        <v/>
      </c>
      <c r="E254" s="8">
        <f>D254-F254</f>
        <v/>
      </c>
      <c r="F254" s="8">
        <f>ROUND(C254*$B$8,2)</f>
        <v/>
      </c>
      <c r="G254" s="8">
        <f>ROUND(C254-E254,2)</f>
        <v/>
      </c>
    </row>
    <row r="255">
      <c r="A255" s="45">
        <f>A254+1</f>
        <v/>
      </c>
      <c r="B255" s="45">
        <f>ROUNDUP(A255/12,0)</f>
        <v/>
      </c>
      <c r="C255" s="8">
        <f>G254</f>
        <v/>
      </c>
      <c r="D255" s="8">
        <f>IF(A255&lt;=$B$7,F255,IF(OR(A255=$B$12,C255+F255&lt;=ROUND($B$10,2)),C255+F255,ROUND($B$10,2)))</f>
        <v/>
      </c>
      <c r="E255" s="8">
        <f>D255-F255</f>
        <v/>
      </c>
      <c r="F255" s="8">
        <f>ROUND(C255*$B$8,2)</f>
        <v/>
      </c>
      <c r="G255" s="8">
        <f>ROUND(C255-E255,2)</f>
        <v/>
      </c>
    </row>
    <row r="256">
      <c r="A256" s="45">
        <f>A255+1</f>
        <v/>
      </c>
      <c r="B256" s="45">
        <f>ROUNDUP(A256/12,0)</f>
        <v/>
      </c>
      <c r="C256" s="8">
        <f>G255</f>
        <v/>
      </c>
      <c r="D256" s="8">
        <f>IF(A256&lt;=$B$7,F256,IF(OR(A256=$B$12,C256+F256&lt;=ROUND($B$10,2)),C256+F256,ROUND($B$10,2)))</f>
        <v/>
      </c>
      <c r="E256" s="8">
        <f>D256-F256</f>
        <v/>
      </c>
      <c r="F256" s="8">
        <f>ROUND(C256*$B$8,2)</f>
        <v/>
      </c>
      <c r="G256" s="8">
        <f>ROUND(C256-E256,2)</f>
        <v/>
      </c>
    </row>
    <row r="257">
      <c r="A257" s="45">
        <f>A256+1</f>
        <v/>
      </c>
      <c r="B257" s="45">
        <f>ROUNDUP(A257/12,0)</f>
        <v/>
      </c>
      <c r="C257" s="8">
        <f>G256</f>
        <v/>
      </c>
      <c r="D257" s="8">
        <f>IF(A257&lt;=$B$7,F257,IF(OR(A257=$B$12,C257+F257&lt;=ROUND($B$10,2)),C257+F257,ROUND($B$10,2)))</f>
        <v/>
      </c>
      <c r="E257" s="8">
        <f>D257-F257</f>
        <v/>
      </c>
      <c r="F257" s="8">
        <f>ROUND(C257*$B$8,2)</f>
        <v/>
      </c>
      <c r="G257" s="8">
        <f>ROUND(C257-E257,2)</f>
        <v/>
      </c>
    </row>
    <row r="258">
      <c r="A258" s="45">
        <f>A257+1</f>
        <v/>
      </c>
      <c r="B258" s="45">
        <f>ROUNDUP(A258/12,0)</f>
        <v/>
      </c>
      <c r="C258" s="8">
        <f>G257</f>
        <v/>
      </c>
      <c r="D258" s="8">
        <f>IF(A258&lt;=$B$7,F258,IF(OR(A258=$B$12,C258+F258&lt;=ROUND($B$10,2)),C258+F258,ROUND($B$10,2)))</f>
        <v/>
      </c>
      <c r="E258" s="8">
        <f>D258-F258</f>
        <v/>
      </c>
      <c r="F258" s="8">
        <f>ROUND(C258*$B$8,2)</f>
        <v/>
      </c>
      <c r="G258" s="8">
        <f>ROUND(C258-E258,2)</f>
        <v/>
      </c>
    </row>
    <row r="259">
      <c r="A259" s="45">
        <f>A258+1</f>
        <v/>
      </c>
      <c r="B259" s="45">
        <f>ROUNDUP(A259/12,0)</f>
        <v/>
      </c>
      <c r="C259" s="8">
        <f>G258</f>
        <v/>
      </c>
      <c r="D259" s="8">
        <f>IF(A259&lt;=$B$7,F259,IF(OR(A259=$B$12,C259+F259&lt;=ROUND($B$10,2)),C259+F259,ROUND($B$10,2)))</f>
        <v/>
      </c>
      <c r="E259" s="8">
        <f>D259-F259</f>
        <v/>
      </c>
      <c r="F259" s="8">
        <f>ROUND(C259*$B$8,2)</f>
        <v/>
      </c>
      <c r="G259" s="8">
        <f>ROUND(C259-E259,2)</f>
        <v/>
      </c>
    </row>
    <row r="260">
      <c r="A260" s="45">
        <f>A259+1</f>
        <v/>
      </c>
      <c r="B260" s="45">
        <f>ROUNDUP(A260/12,0)</f>
        <v/>
      </c>
      <c r="C260" s="8">
        <f>G259</f>
        <v/>
      </c>
      <c r="D260" s="8">
        <f>IF(A260&lt;=$B$7,F260,IF(OR(A260=$B$12,C260+F260&lt;=ROUND($B$10,2)),C260+F260,ROUND($B$10,2)))</f>
        <v/>
      </c>
      <c r="E260" s="8">
        <f>D260-F260</f>
        <v/>
      </c>
      <c r="F260" s="8">
        <f>ROUND(C260*$B$8,2)</f>
        <v/>
      </c>
      <c r="G260" s="8">
        <f>ROUND(C260-E260,2)</f>
        <v/>
      </c>
    </row>
    <row r="261">
      <c r="A261" s="45">
        <f>A260+1</f>
        <v/>
      </c>
      <c r="B261" s="45">
        <f>ROUNDUP(A261/12,0)</f>
        <v/>
      </c>
      <c r="C261" s="8">
        <f>G260</f>
        <v/>
      </c>
      <c r="D261" s="8">
        <f>IF(A261&lt;=$B$7,F261,IF(OR(A261=$B$12,C261+F261&lt;=ROUND($B$10,2)),C261+F261,ROUND($B$10,2)))</f>
        <v/>
      </c>
      <c r="E261" s="8">
        <f>D261-F261</f>
        <v/>
      </c>
      <c r="F261" s="8">
        <f>ROUND(C261*$B$8,2)</f>
        <v/>
      </c>
      <c r="G261" s="8">
        <f>ROUND(C261-E261,2)</f>
        <v/>
      </c>
    </row>
    <row r="262">
      <c r="A262" s="45">
        <f>A261+1</f>
        <v/>
      </c>
      <c r="B262" s="45">
        <f>ROUNDUP(A262/12,0)</f>
        <v/>
      </c>
      <c r="C262" s="8">
        <f>G261</f>
        <v/>
      </c>
      <c r="D262" s="8">
        <f>IF(A262&lt;=$B$7,F262,IF(OR(A262=$B$12,C262+F262&lt;=ROUND($B$10,2)),C262+F262,ROUND($B$10,2)))</f>
        <v/>
      </c>
      <c r="E262" s="8">
        <f>D262-F262</f>
        <v/>
      </c>
      <c r="F262" s="8">
        <f>ROUND(C262*$B$8,2)</f>
        <v/>
      </c>
      <c r="G262" s="8">
        <f>ROUND(C262-E262,2)</f>
        <v/>
      </c>
    </row>
    <row r="263">
      <c r="A263" s="45">
        <f>A262+1</f>
        <v/>
      </c>
      <c r="B263" s="45">
        <f>ROUNDUP(A263/12,0)</f>
        <v/>
      </c>
      <c r="C263" s="8">
        <f>G262</f>
        <v/>
      </c>
      <c r="D263" s="8">
        <f>IF(A263&lt;=$B$7,F263,IF(OR(A263=$B$12,C263+F263&lt;=ROUND($B$10,2)),C263+F263,ROUND($B$10,2)))</f>
        <v/>
      </c>
      <c r="E263" s="8">
        <f>D263-F263</f>
        <v/>
      </c>
      <c r="F263" s="8">
        <f>ROUND(C263*$B$8,2)</f>
        <v/>
      </c>
      <c r="G263" s="8">
        <f>ROUND(C263-E263,2)</f>
        <v/>
      </c>
    </row>
    <row r="264">
      <c r="A264" s="45">
        <f>A263+1</f>
        <v/>
      </c>
      <c r="B264" s="45">
        <f>ROUNDUP(A264/12,0)</f>
        <v/>
      </c>
      <c r="C264" s="8">
        <f>G263</f>
        <v/>
      </c>
      <c r="D264" s="8">
        <f>IF(A264&lt;=$B$7,F264,IF(OR(A264=$B$12,C264+F264&lt;=ROUND($B$10,2)),C264+F264,ROUND($B$10,2)))</f>
        <v/>
      </c>
      <c r="E264" s="8">
        <f>D264-F264</f>
        <v/>
      </c>
      <c r="F264" s="8">
        <f>ROUND(C264*$B$8,2)</f>
        <v/>
      </c>
      <c r="G264" s="8">
        <f>ROUND(C264-E264,2)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9"/>
  <sheetViews>
    <sheetView showGridLines="1" workbookViewId="0">
      <selection activeCell="A1" sqref="A1"/>
    </sheetView>
  </sheetViews>
  <sheetFormatPr baseColWidth="8" defaultRowHeight="15"/>
  <cols>
    <col width="42" customWidth="1" min="1" max="1"/>
    <col width="19" customWidth="1" min="2" max="2"/>
    <col width="19" customWidth="1" min="3" max="3"/>
    <col width="17" customWidth="1" min="4" max="4"/>
    <col width="17" customWidth="1" min="5" max="5"/>
    <col width="17" customWidth="1" min="6" max="6"/>
    <col width="17" customWidth="1" min="7" max="7"/>
  </cols>
  <sheetData>
    <row r="1">
      <c r="A1" s="1" t="inlineStr">
        <is>
          <t>SCENARIO COMPARISONS &amp; 2D DSCR SENSITIVITY MATRIX</t>
        </is>
      </c>
    </row>
    <row r="2"/>
    <row r="3">
      <c r="A3" s="40" t="inlineStr">
        <is>
          <t>Métrica</t>
        </is>
      </c>
      <c r="B3" s="40" t="inlineStr">
        <is>
          <t>Conservador (Y1)</t>
        </is>
      </c>
      <c r="C3" s="40" t="inlineStr">
        <is>
          <t>Conservador (Y3)</t>
        </is>
      </c>
      <c r="D3" s="40" t="inlineStr">
        <is>
          <t>Caso Base (Y1)</t>
        </is>
      </c>
      <c r="E3" s="40" t="inlineStr">
        <is>
          <t>Caso Base (Y3)</t>
        </is>
      </c>
      <c r="F3" s="40" t="inlineStr">
        <is>
          <t>Optimista (Y1)</t>
        </is>
      </c>
      <c r="G3" s="40" t="inlineStr">
        <is>
          <t>Optimista (Y3)</t>
        </is>
      </c>
    </row>
    <row r="4">
      <c r="A4" s="6" t="inlineStr">
        <is>
          <t>Ventas Totales (€)</t>
        </is>
      </c>
      <c r="B4" s="6" t="inlineStr">
        <is>
          <t>124,798</t>
        </is>
      </c>
      <c r="C4" s="6" t="inlineStr">
        <is>
          <t>138,664</t>
        </is>
      </c>
      <c r="D4" s="6" t="inlineStr">
        <is>
          <t>154,548</t>
        </is>
      </c>
      <c r="E4" s="6" t="inlineStr">
        <is>
          <t>171,720</t>
        </is>
      </c>
      <c r="F4" s="6" t="inlineStr">
        <is>
          <t>204,003</t>
        </is>
      </c>
      <c r="G4" s="6" t="inlineStr">
        <is>
          <t>226,670</t>
        </is>
      </c>
    </row>
    <row r="5">
      <c r="A5" s="6" t="inlineStr">
        <is>
          <t>EBITDA (€)</t>
        </is>
      </c>
      <c r="B5" s="6" t="inlineStr">
        <is>
          <t>-7,500</t>
        </is>
      </c>
      <c r="C5" s="6" t="inlineStr">
        <is>
          <t>2,737</t>
        </is>
      </c>
      <c r="D5" s="6" t="inlineStr">
        <is>
          <t>24,280</t>
        </is>
      </c>
      <c r="E5" s="6" t="inlineStr">
        <is>
          <t>37,042</t>
        </is>
      </c>
      <c r="F5" s="6" t="inlineStr">
        <is>
          <t>64,576</t>
        </is>
      </c>
      <c r="G5" s="6" t="inlineStr">
        <is>
          <t>81,614</t>
        </is>
      </c>
    </row>
    <row r="6">
      <c r="A6" s="6" t="inlineStr">
        <is>
          <t>Beneficio Neto (€)</t>
        </is>
      </c>
      <c r="B6" s="6" t="inlineStr">
        <is>
          <t>-82,899</t>
        </is>
      </c>
      <c r="C6" s="6" t="inlineStr">
        <is>
          <t>-62,502</t>
        </is>
      </c>
      <c r="D6" s="6" t="inlineStr">
        <is>
          <t>-45,606</t>
        </is>
      </c>
      <c r="E6" s="6" t="inlineStr">
        <is>
          <t>-22,826</t>
        </is>
      </c>
      <c r="F6" s="6" t="inlineStr">
        <is>
          <t>-3,472</t>
        </is>
      </c>
      <c r="G6" s="6" t="inlineStr">
        <is>
          <t>17,641</t>
        </is>
      </c>
    </row>
    <row r="7">
      <c r="A7" s="6" t="inlineStr">
        <is>
          <t>Caja Final de Ejercicio (€)</t>
        </is>
      </c>
      <c r="B7" s="6" t="inlineStr">
        <is>
          <t>15,000</t>
        </is>
      </c>
      <c r="C7" s="6" t="inlineStr">
        <is>
          <t>108,092</t>
        </is>
      </c>
      <c r="D7" s="6" t="inlineStr">
        <is>
          <t>20,701</t>
        </is>
      </c>
      <c r="E7" s="6" t="inlineStr">
        <is>
          <t>187,565</t>
        </is>
      </c>
      <c r="F7" s="6" t="inlineStr">
        <is>
          <t>61,351</t>
        </is>
      </c>
      <c r="G7" s="6" t="inlineStr">
        <is>
          <t>306,722</t>
        </is>
      </c>
    </row>
    <row r="8">
      <c r="A8" s="6" t="inlineStr">
        <is>
          <t>Cobertura de Deuda (DSCR)</t>
        </is>
      </c>
      <c r="B8" s="6" t="inlineStr">
        <is>
          <t>-0.56x</t>
        </is>
      </c>
      <c r="C8" s="6" t="inlineStr">
        <is>
          <t>-0.05x</t>
        </is>
      </c>
      <c r="D8" s="6" t="inlineStr">
        <is>
          <t>1.34x</t>
        </is>
      </c>
      <c r="E8" s="6" t="inlineStr">
        <is>
          <t>1.15x</t>
        </is>
      </c>
      <c r="F8" s="6" t="inlineStr">
        <is>
          <t>4.54x</t>
        </is>
      </c>
      <c r="G8" s="6" t="inlineStr">
        <is>
          <t>2.60x</t>
        </is>
      </c>
    </row>
    <row r="9">
      <c r="A9" s="6" t="inlineStr">
        <is>
          <t>Cobertura de Intereses (ICR)</t>
        </is>
      </c>
      <c r="B9" s="6" t="inlineStr">
        <is>
          <t>-0.37x</t>
        </is>
      </c>
      <c r="C9" s="6" t="inlineStr">
        <is>
          <t>0.14x</t>
        </is>
      </c>
      <c r="D9" s="6" t="inlineStr">
        <is>
          <t>1.65x</t>
        </is>
      </c>
      <c r="E9" s="6" t="inlineStr">
        <is>
          <t>2.66x</t>
        </is>
      </c>
      <c r="F9" s="6" t="inlineStr">
        <is>
          <t>5.02x</t>
        </is>
      </c>
      <c r="G9" s="6" t="inlineStr">
        <is>
          <t>6.72x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showGridLines="1" workbookViewId="0">
      <selection activeCell="A1" sqref="A1"/>
    </sheetView>
  </sheetViews>
  <sheetFormatPr baseColWidth="8" defaultRowHeight="15"/>
  <cols>
    <col width="42" customWidth="1" min="1" max="1"/>
    <col width="17" customWidth="1" min="2" max="2"/>
  </cols>
  <sheetData>
    <row r="1">
      <c r="A1" s="1" t="inlineStr">
        <is>
          <t>MONTE CARLO STOCHASTIC CREDIT RISK SIMULATION (N=1,000 DRAWS ON THE MINIMUM DSCR)</t>
        </is>
      </c>
    </row>
    <row r="2"/>
    <row r="3">
      <c r="A3" s="40" t="inlineStr">
        <is>
          <t>Simulation Parameter</t>
        </is>
      </c>
      <c r="B3" s="40" t="inlineStr">
        <is>
          <t>Result Value</t>
        </is>
      </c>
    </row>
    <row r="4">
      <c r="A4" s="6" t="inlineStr">
        <is>
          <t>Simulations Executed</t>
        </is>
      </c>
      <c r="B4" s="5" t="inlineStr">
        <is>
          <t>1,000</t>
        </is>
      </c>
    </row>
    <row r="5">
      <c r="A5" s="6" t="inlineStr">
        <is>
          <t>Mean Minimum DSCR (Years 1-3)</t>
        </is>
      </c>
      <c r="B5" s="5" t="inlineStr">
        <is>
          <t>1.01x</t>
        </is>
      </c>
    </row>
    <row r="6">
      <c r="A6" s="6" t="inlineStr">
        <is>
          <t>Median Minimum DSCR (Years 1-3)</t>
        </is>
      </c>
      <c r="B6" s="5" t="inlineStr">
        <is>
          <t>1.08x</t>
        </is>
      </c>
    </row>
    <row r="7">
      <c r="A7" s="6" t="inlineStr">
        <is>
          <t>VaR 95% Minimum DSCR (5th Percentile)</t>
        </is>
      </c>
      <c r="B7" s="5" t="inlineStr">
        <is>
          <t>-0.29x</t>
        </is>
      </c>
    </row>
    <row r="8">
      <c r="A8" s="6" t="inlineStr">
        <is>
          <t>P(Covenant Breach) [min DSCR &lt; 1.25x]</t>
        </is>
      </c>
      <c r="B8" s="5" t="inlineStr">
        <is>
          <t>60.9%</t>
        </is>
      </c>
    </row>
    <row r="9">
      <c r="A9" s="6" t="inlineStr">
        <is>
          <t>P(Debt-Service Shortfall) [min DSCR &lt; 1.00x]</t>
        </is>
      </c>
      <c r="B9" s="5" t="inlineStr">
        <is>
          <t>44.2%</t>
        </is>
      </c>
    </row>
    <row r="10">
      <c r="A10" s="6" t="inlineStr">
        <is>
          <t>Mean Equity IRR (8.5% exit)</t>
        </is>
      </c>
      <c r="B10" s="5" t="inlineStr">
        <is>
          <t>-43.8%</t>
        </is>
      </c>
    </row>
    <row r="11">
      <c r="A11" s="6" t="inlineStr">
        <is>
          <t>VaR 95% Equity IRR (5th Percentile)</t>
        </is>
      </c>
      <c r="B11" s="5" t="inlineStr">
        <is>
          <t>-96.0%</t>
        </is>
      </c>
    </row>
    <row r="12">
      <c r="A12" s="6" t="inlineStr">
        <is>
          <t>Cash Equity at Close (fixed in every draw)</t>
        </is>
      </c>
      <c r="B12" s="5" t="inlineStr">
        <is>
          <t>521,090.22 EUR</t>
        </is>
      </c>
    </row>
    <row r="13">
      <c r="A13" s="6" t="inlineStr">
        <is>
          <t>Total Equity at Close</t>
        </is>
      </c>
      <c r="B13" s="5" t="inlineStr">
        <is>
          <t>771,090.22 EUR</t>
        </is>
      </c>
    </row>
    <row r="14">
      <c r="A14" s="6" t="inlineStr">
        <is>
          <t>Mean Ending Cash Year 1</t>
        </is>
      </c>
      <c r="B14" s="5" t="inlineStr">
        <is>
          <t>19,492.60 EUR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8"/>
  <sheetViews>
    <sheetView showGridLines="1" workbookViewId="0">
      <selection activeCell="A1" sqref="A1"/>
    </sheetView>
  </sheetViews>
  <sheetFormatPr baseColWidth="8" defaultRowHeight="15"/>
  <cols>
    <col width="42" customWidth="1" min="1" max="1"/>
    <col width="42" customWidth="1" min="2" max="2"/>
    <col width="21" customWidth="1" min="3" max="3"/>
    <col width="23" customWidth="1" min="4" max="4"/>
    <col width="20" customWidth="1" min="5" max="5"/>
    <col width="20" customWidth="1" min="6" max="6"/>
    <col width="22" customWidth="1" min="7" max="7"/>
    <col width="18" customWidth="1" min="8" max="8"/>
    <col width="18" customWidth="1" min="9" max="9"/>
    <col width="25" customWidth="1" min="10" max="10"/>
  </cols>
  <sheetData>
    <row r="1">
      <c r="A1" s="1" t="inlineStr">
        <is>
          <t>MULTIVARIATE COPULA TAIL RISK &amp; CREDIT COMMITTEE UNDERWRITING</t>
        </is>
      </c>
    </row>
    <row r="2"/>
    <row r="3">
      <c r="A3" s="3" t="inlineStr">
        <is>
          <t>1. MULTIVARIATE COPULA RISK COMPARISON (50,000 SIMULATIONS)</t>
        </is>
      </c>
    </row>
    <row r="4">
      <c r="A4" s="40" t="inlineStr">
        <is>
          <t>Model Specification</t>
        </is>
      </c>
      <c r="B4" s="40" t="inlineStr">
        <is>
          <t>Tail Dep. (Lower / Upper)</t>
        </is>
      </c>
      <c r="C4" s="40" t="inlineStr">
        <is>
          <t>Mean DSCR (Year 2)</t>
        </is>
      </c>
      <c r="D4" s="40" t="inlineStr">
        <is>
          <t>Median DSCR (Year 2)</t>
        </is>
      </c>
      <c r="E4" s="40" t="inlineStr">
        <is>
          <t>VaR 95% (5th pct)</t>
        </is>
      </c>
      <c r="F4" s="40" t="inlineStr">
        <is>
          <t>VaR 99% (1st pct)</t>
        </is>
      </c>
      <c r="G4" s="40" t="inlineStr">
        <is>
          <t>CVaR 99% (Worst 1%)</t>
        </is>
      </c>
      <c r="H4" s="40" t="inlineStr">
        <is>
          <t>P(DSCR &lt; 1.25x)</t>
        </is>
      </c>
      <c r="I4" s="40" t="inlineStr">
        <is>
          <t>P(DSCR &lt; 1.00x)</t>
        </is>
      </c>
      <c r="J4" s="40" t="inlineStr">
        <is>
          <t>CVaR 99% Deficit (EUR)</t>
        </is>
      </c>
    </row>
    <row r="5">
      <c r="A5" s="6" t="inlineStr">
        <is>
          <t>Gaussian Copula (Benchmark)</t>
        </is>
      </c>
      <c r="B5" s="6" t="inlineStr">
        <is>
          <t>0.00 / 0.00 (Independent)</t>
        </is>
      </c>
      <c r="C5" s="6" t="inlineStr">
        <is>
          <t>1.20x</t>
        </is>
      </c>
      <c r="D5" s="6" t="inlineStr">
        <is>
          <t>1.15x</t>
        </is>
      </c>
      <c r="E5" s="6" t="inlineStr">
        <is>
          <t>-0.12x</t>
        </is>
      </c>
      <c r="F5" s="6" t="inlineStr">
        <is>
          <t>-0.51x</t>
        </is>
      </c>
      <c r="G5" s="6" t="inlineStr">
        <is>
          <t>-0.67x</t>
        </is>
      </c>
      <c r="H5" s="6" t="inlineStr">
        <is>
          <t>54.41%</t>
        </is>
      </c>
      <c r="I5" s="6" t="inlineStr">
        <is>
          <t>43.32%</t>
        </is>
      </c>
      <c r="J5" s="6" t="inlineStr">
        <is>
          <t>48,508</t>
        </is>
      </c>
    </row>
    <row r="6">
      <c r="A6" s="6" t="inlineStr">
        <is>
          <t>Student-t Copula (nu=4)</t>
        </is>
      </c>
      <c r="B6" s="6" t="inlineStr">
        <is>
          <t>0.18 / 0.18 (Symmetric)</t>
        </is>
      </c>
      <c r="C6" s="6" t="inlineStr">
        <is>
          <t>1.19x</t>
        </is>
      </c>
      <c r="D6" s="6" t="inlineStr">
        <is>
          <t>1.15x</t>
        </is>
      </c>
      <c r="E6" s="6" t="inlineStr">
        <is>
          <t>-0.11x</t>
        </is>
      </c>
      <c r="F6" s="6" t="inlineStr">
        <is>
          <t>-0.54x</t>
        </is>
      </c>
      <c r="G6" s="6" t="inlineStr">
        <is>
          <t>-0.76x</t>
        </is>
      </c>
      <c r="H6" s="6" t="inlineStr">
        <is>
          <t>54.59%</t>
        </is>
      </c>
      <c r="I6" s="6" t="inlineStr">
        <is>
          <t>43.19%</t>
        </is>
      </c>
      <c r="J6" s="6" t="inlineStr">
        <is>
          <t>51,350</t>
        </is>
      </c>
    </row>
    <row r="7">
      <c r="A7" s="6" t="inlineStr">
        <is>
          <t>Clayton Copula (theta=1.8)</t>
        </is>
      </c>
      <c r="B7" s="6" t="inlineStr">
        <is>
          <t>0.68 / 0.00 (Asymmetric Lower)</t>
        </is>
      </c>
      <c r="C7" s="6" t="inlineStr">
        <is>
          <t>1.22x</t>
        </is>
      </c>
      <c r="D7" s="6" t="inlineStr">
        <is>
          <t>1.23x</t>
        </is>
      </c>
      <c r="E7" s="6" t="inlineStr">
        <is>
          <t>-0.32x</t>
        </is>
      </c>
      <c r="F7" s="6" t="inlineStr">
        <is>
          <t>-0.78x</t>
        </is>
      </c>
      <c r="G7" s="6" t="inlineStr">
        <is>
          <t>-0.95x</t>
        </is>
      </c>
      <c r="H7" s="6" t="inlineStr">
        <is>
          <t>50.71%</t>
        </is>
      </c>
      <c r="I7" s="6" t="inlineStr">
        <is>
          <t>41.07%</t>
        </is>
      </c>
      <c r="J7" s="6" t="inlineStr">
        <is>
          <t>62,786</t>
        </is>
      </c>
    </row>
    <row r="8"/>
    <row r="9">
      <c r="A9" s="3" t="inlineStr">
        <is>
          <t>2. UNDERWRITING SCORECARD &amp; DSRA SIZING</t>
        </is>
      </c>
    </row>
    <row r="10">
      <c r="A10" s="40" t="inlineStr">
        <is>
          <t>Underwriting Parameter</t>
        </is>
      </c>
      <c r="B10" s="40" t="inlineStr">
        <is>
          <t>Credit Committee Benchmark</t>
        </is>
      </c>
    </row>
    <row r="11">
      <c r="A11" s="6" t="inlineStr">
        <is>
          <t>Facility Requested (Senior Mortgage, 35% LTV)</t>
        </is>
      </c>
      <c r="B11" s="5" t="inlineStr">
        <is>
          <t>367,535.00 EUR</t>
        </is>
      </c>
    </row>
    <row r="12">
      <c r="A12" s="6" t="inlineStr">
        <is>
          <t>DSCR-Capped Principal at 1.25x</t>
        </is>
      </c>
      <c r="B12" s="5" t="inlineStr">
        <is>
          <t>339,144.92 EUR</t>
        </is>
      </c>
    </row>
    <row r="13">
      <c r="A13" s="6" t="inlineStr">
        <is>
          <t>Binding Constraint</t>
        </is>
      </c>
      <c r="B13" s="5" t="inlineStr">
        <is>
          <t>DSCR</t>
        </is>
      </c>
    </row>
    <row r="14">
      <c r="A14" s="6" t="inlineStr">
        <is>
          <t>Total Project CapEx</t>
        </is>
      </c>
      <c r="B14" s="5" t="inlineStr">
        <is>
          <t>1,050,100.00 EUR</t>
        </is>
      </c>
    </row>
    <row r="15">
      <c r="A15" s="6" t="inlineStr">
        <is>
          <t>Senior Loan-to-Value (Total CapEx)</t>
        </is>
      </c>
      <c r="B15" s="5" t="inlineStr">
        <is>
          <t>35.0%</t>
        </is>
      </c>
    </row>
    <row r="16">
      <c r="A16" s="6" t="inlineStr">
        <is>
          <t>Cash Equity Required</t>
        </is>
      </c>
      <c r="B16" s="5" t="inlineStr">
        <is>
          <t>521,090.22 EUR (49.6% of CapEx)</t>
        </is>
      </c>
    </row>
    <row r="17">
      <c r="A17" s="6" t="inlineStr">
        <is>
          <t>Year 1 DSCR (interest-only)</t>
        </is>
      </c>
      <c r="B17" s="5" t="inlineStr">
        <is>
          <t>1.34x</t>
        </is>
      </c>
    </row>
    <row r="18">
      <c r="A18" s="6" t="inlineStr">
        <is>
          <t>Year 2 DSCR (first amortising year)</t>
        </is>
      </c>
      <c r="B18" s="5" t="inlineStr">
        <is>
          <t>1.15x</t>
        </is>
      </c>
    </row>
    <row r="19">
      <c r="A19" s="6" t="inlineStr">
        <is>
          <t>Mature Year 3 DSCR</t>
        </is>
      </c>
      <c r="B19" s="5" t="inlineStr">
        <is>
          <t>1.15x</t>
        </is>
      </c>
    </row>
    <row r="20">
      <c r="A20" s="6" t="inlineStr">
        <is>
          <t>Operating Break-Even Occupancy (EBITDA = 0)</t>
        </is>
      </c>
      <c r="B20" s="5" t="inlineStr">
        <is>
          <t>22.26%</t>
        </is>
      </c>
    </row>
    <row r="21">
      <c r="A21" s="6" t="inlineStr">
        <is>
          <t>Cash Debt-Service Break-Even (DSCR = 1.00x)</t>
        </is>
      </c>
      <c r="B21" s="5" t="inlineStr">
        <is>
          <t>30.28%</t>
        </is>
      </c>
    </row>
    <row r="22">
      <c r="A22" s="6" t="inlineStr">
        <is>
          <t>Covenant Break-Even (DSCR = 1.25x)</t>
        </is>
      </c>
      <c r="B22" s="5" t="inlineStr">
        <is>
          <t>32.05%</t>
        </is>
      </c>
    </row>
    <row r="23">
      <c r="A23" s="6" t="inlineStr">
        <is>
          <t>ADR Required for the 1.25x Covenant</t>
        </is>
      </c>
      <c r="B23" s="5" t="inlineStr">
        <is>
          <t>86.64 EUR</t>
        </is>
      </c>
    </row>
    <row r="24">
      <c r="A24" s="6" t="inlineStr">
        <is>
          <t>ADR Required for a 10% Equity IRR (8.5% exit)</t>
        </is>
      </c>
      <c r="B24" s="5" t="inlineStr">
        <is>
          <t>116.36 EUR</t>
        </is>
      </c>
    </row>
    <row r="25">
      <c r="A25" s="6" t="inlineStr">
        <is>
          <t>Contractual DSRA (6 Months)</t>
        </is>
      </c>
      <c r="B25" s="5" t="inlineStr">
        <is>
          <t>13,823.82 EUR</t>
        </is>
      </c>
    </row>
    <row r="26">
      <c r="A26" s="6" t="inlineStr">
        <is>
          <t>Recommended Copula Tail DSRA (Clayton CVaR 99%)</t>
        </is>
      </c>
      <c r="B26" s="5" t="inlineStr">
        <is>
          <t>62,786.01 EUR</t>
        </is>
      </c>
    </row>
    <row r="27">
      <c r="A27" s="6" t="inlineStr">
        <is>
          <t>Unhedged Deficit under the 6-Month DSRA</t>
        </is>
      </c>
      <c r="B27" s="5" t="inlineStr">
        <is>
          <t>48,962.19 EUR</t>
        </is>
      </c>
    </row>
    <row r="28">
      <c r="A28" s="6" t="inlineStr">
        <is>
          <t>Credit Committee Recommendation</t>
        </is>
      </c>
      <c r="B28" s="5" t="inlineStr">
        <is>
          <t>DECLINE AS STRUCTURED (RESIZE REQUIRED)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43"/>
  <sheetViews>
    <sheetView showGridLines="1" workbookViewId="0">
      <selection activeCell="A1" sqref="A1"/>
    </sheetView>
  </sheetViews>
  <sheetFormatPr baseColWidth="8" defaultRowHeight="15"/>
  <cols>
    <col width="42" customWidth="1" min="1" max="1"/>
    <col width="17" customWidth="1" min="2" max="2"/>
    <col width="42" customWidth="1" min="3" max="3"/>
    <col width="16" customWidth="1" min="4" max="4"/>
    <col width="42" customWidth="1" min="5" max="5"/>
    <col width="22" customWidth="1" min="6" max="6"/>
    <col width="17" customWidth="1" min="7" max="7"/>
    <col width="19" customWidth="1" min="8" max="8"/>
    <col width="24" customWidth="1" min="9" max="9"/>
    <col width="22" customWidth="1" min="10" max="10"/>
    <col width="21" customWidth="1" min="11" max="11"/>
    <col width="19" customWidth="1" min="12" max="12"/>
    <col width="22" customWidth="1" min="13" max="13"/>
    <col width="24" customWidth="1" min="14" max="14"/>
    <col width="24" customWidth="1" min="15" max="15"/>
  </cols>
  <sheetData>
    <row r="1">
      <c r="A1" s="1" t="inlineStr">
        <is>
          <t>UNIT ECONOMICS, CONTRIBUTION MARGIN &amp; 24-MONTH MONTHLY CASH RUNWAY</t>
        </is>
      </c>
    </row>
    <row r="2"/>
    <row r="3">
      <c r="A3" s="3" t="inlineStr">
        <is>
          <t>1. UNIT ECONOMICS &amp; CONTRIBUTION MARGIN (USALI STANDARDS)</t>
        </is>
      </c>
      <c r="E3" s="3" t="inlineStr">
        <is>
          <t>2. RevPAR &amp; TRevPAR PERFORMANCE SCHEDULE (YEARS 1 TO 3)</t>
        </is>
      </c>
    </row>
    <row r="4">
      <c r="A4" s="40" t="inlineStr">
        <is>
          <t>Metric / Cost Category</t>
        </is>
      </c>
      <c r="B4" s="40" t="inlineStr">
        <is>
          <t>Value</t>
        </is>
      </c>
      <c r="C4" s="40" t="inlineStr">
        <is>
          <t>Operational / Statutory Basis</t>
        </is>
      </c>
      <c r="E4" s="40" t="inlineStr">
        <is>
          <t>Year</t>
        </is>
      </c>
      <c r="F4" s="40" t="inlineStr">
        <is>
          <t>Stage</t>
        </is>
      </c>
      <c r="G4" s="40" t="inlineStr">
        <is>
          <t>Occupancy Rate</t>
        </is>
      </c>
      <c r="H4" s="40" t="inlineStr">
        <is>
          <t>Occupied Days</t>
        </is>
      </c>
      <c r="I4" s="40" t="inlineStr">
        <is>
          <t>Lodging Revenue (Eur)</t>
        </is>
      </c>
      <c r="J4" s="40" t="inlineStr">
        <is>
          <t>Total Revenue (Eur)</t>
        </is>
      </c>
      <c r="K4" s="40" t="inlineStr">
        <is>
          <t>Revpar (Eur)</t>
        </is>
      </c>
      <c r="L4" s="40" t="inlineStr">
        <is>
          <t>Trevpar (Eur)</t>
        </is>
      </c>
      <c r="M4" s="40" t="inlineStr">
        <is>
          <t>Cash Margin (Eur)</t>
        </is>
      </c>
      <c r="N4" s="40" t="inlineStr">
        <is>
          <t>Fixed Burden Coverage</t>
        </is>
      </c>
    </row>
    <row r="5">
      <c r="A5" s="6" t="inlineStr">
        <is>
          <t>Daily Gross Revenue @ 100% Occ</t>
        </is>
      </c>
      <c r="B5" s="5" t="inlineStr">
        <is>
          <t>1,500.00 EUR</t>
        </is>
      </c>
      <c r="C5" s="6" t="inlineStr">
        <is>
          <t>8 keys: Lodging 975 EUR + F&amp;B 525 EUR</t>
        </is>
      </c>
      <c r="E5" s="6" t="n">
        <v>1</v>
      </c>
      <c r="F5" s="6" t="inlineStr">
        <is>
          <t>Year 1 (Ramp-up)</t>
        </is>
      </c>
      <c r="G5" s="6" t="inlineStr">
        <is>
          <t>28.23%</t>
        </is>
      </c>
      <c r="H5" s="6" t="n">
        <v>103</v>
      </c>
      <c r="I5" s="6" t="n">
        <v>100456.2</v>
      </c>
      <c r="J5" s="6" t="n">
        <v>154548</v>
      </c>
      <c r="K5" s="6" t="n">
        <v>34.4</v>
      </c>
      <c r="L5" s="6" t="n">
        <v>52.93</v>
      </c>
      <c r="M5" s="6" t="n">
        <v>110218.48</v>
      </c>
      <c r="N5" s="6" t="inlineStr">
        <is>
          <t>0.93x</t>
        </is>
      </c>
    </row>
    <row r="6">
      <c r="A6" s="6" t="inlineStr">
        <is>
          <t>Variable Costs per Occupied Day</t>
        </is>
      </c>
      <c r="B6" s="5" t="inlineStr">
        <is>
          <t>385.25 EUR</t>
        </is>
      </c>
      <c r="C6" s="6" t="inlineStr">
        <is>
          <t>25.7% variable cost ratio</t>
        </is>
      </c>
      <c r="E6" s="6" t="n">
        <v>2</v>
      </c>
      <c r="F6" s="6" t="inlineStr">
        <is>
          <t>Year 2 (Stabilised)</t>
        </is>
      </c>
      <c r="G6" s="6" t="inlineStr">
        <is>
          <t>31.36%</t>
        </is>
      </c>
      <c r="H6" s="6" t="n">
        <v>114.5</v>
      </c>
      <c r="I6" s="6" t="n">
        <v>111618</v>
      </c>
      <c r="J6" s="6" t="n">
        <v>171720</v>
      </c>
      <c r="K6" s="6" t="n">
        <v>38.23</v>
      </c>
      <c r="L6" s="6" t="n">
        <v>58.81</v>
      </c>
      <c r="M6" s="6" t="n">
        <v>122464.98</v>
      </c>
      <c r="N6" s="6" t="inlineStr">
        <is>
          <t>1.04x</t>
        </is>
      </c>
    </row>
    <row r="7">
      <c r="A7" s="6" t="inlineStr">
        <is>
          <t xml:space="preserve">  - F&amp;B COGS (30% spend)</t>
        </is>
      </c>
      <c r="B7" s="5" t="inlineStr">
        <is>
          <t>157.50 EUR</t>
        </is>
      </c>
      <c r="C7" s="6" t="inlineStr">
        <is>
          <t>30% of daily F&amp;B turnover</t>
        </is>
      </c>
      <c r="E7" s="6" t="n">
        <v>3</v>
      </c>
      <c r="F7" s="6" t="inlineStr">
        <is>
          <t>Year 3 (Mature)</t>
        </is>
      </c>
      <c r="G7" s="6" t="inlineStr">
        <is>
          <t>31.36%</t>
        </is>
      </c>
      <c r="H7" s="6" t="n">
        <v>114.5</v>
      </c>
      <c r="I7" s="6" t="n">
        <v>111618</v>
      </c>
      <c r="J7" s="6" t="n">
        <v>171720</v>
      </c>
      <c r="K7" s="6" t="n">
        <v>38.23</v>
      </c>
      <c r="L7" s="6" t="n">
        <v>58.81</v>
      </c>
      <c r="M7" s="6" t="n">
        <v>122464.98</v>
      </c>
      <c r="N7" s="6" t="inlineStr">
        <is>
          <t>1.04x</t>
        </is>
      </c>
    </row>
    <row r="8">
      <c r="A8" s="6" t="inlineStr">
        <is>
          <t xml:space="preserve">  - OTA Commissions (60% OTA @ 15%)</t>
        </is>
      </c>
      <c r="B8" s="5" t="inlineStr">
        <is>
          <t>87.75 EUR</t>
        </is>
      </c>
      <c r="C8" s="6" t="inlineStr">
        <is>
          <t>15% on 60% OTA booking mix</t>
        </is>
      </c>
    </row>
    <row r="9">
      <c r="A9" s="6" t="inlineStr">
        <is>
          <t xml:space="preserve">  - Amenities &amp; Guest Supplies</t>
        </is>
      </c>
      <c r="B9" s="5" t="inlineStr">
        <is>
          <t>35.00 EUR</t>
        </is>
      </c>
      <c r="C9" s="6" t="inlineStr">
        <is>
          <t>Direct consumables per occupied day</t>
        </is>
      </c>
    </row>
    <row r="10">
      <c r="A10" s="6" t="inlineStr">
        <is>
          <t>Unit Contribution Margin (Day)</t>
        </is>
      </c>
      <c r="B10" s="5" t="inlineStr">
        <is>
          <t>1,069.75 EUR</t>
        </is>
      </c>
      <c r="C10" s="6" t="inlineStr">
        <is>
          <t>71.32% contribution margin</t>
        </is>
      </c>
    </row>
    <row r="11">
      <c r="A11" s="6" t="inlineStr">
        <is>
          <t>Room-Night Unit Margin</t>
        </is>
      </c>
      <c r="B11" s="5" t="inlineStr">
        <is>
          <t>93.93 EUR</t>
        </is>
      </c>
      <c r="C11" s="6" t="inlineStr">
        <is>
          <t>69.57% per room-night</t>
        </is>
      </c>
    </row>
    <row r="12">
      <c r="A12" s="6" t="inlineStr">
        <is>
          <t>Annual Fixed Overhead (Payroll + OPEX)</t>
        </is>
      </c>
      <c r="B12" s="5" t="inlineStr">
        <is>
          <t>90,575.00 EUR</t>
        </is>
      </c>
      <c r="C12" s="6" t="inlineStr">
        <is>
          <t>Base operational fixed costs</t>
        </is>
      </c>
    </row>
    <row r="13">
      <c r="A13" s="6" t="inlineStr">
        <is>
          <t>Annual Senior Debt Service</t>
        </is>
      </c>
      <c r="B13" s="5" t="inlineStr">
        <is>
          <t>27,647.64 EUR</t>
        </is>
      </c>
      <c r="C13" s="6" t="inlineStr">
        <is>
          <t>20Y French amortization @ 4.0%, 12-month grace</t>
        </is>
      </c>
    </row>
    <row r="14">
      <c r="A14" s="6" t="inlineStr">
        <is>
          <t>Annual Total Fixed Burden</t>
        </is>
      </c>
      <c r="B14" s="5" t="inlineStr">
        <is>
          <t>118,222.64 EUR</t>
        </is>
      </c>
      <c r="C14" s="6" t="inlineStr">
        <is>
          <t>Overhead + full debt service</t>
        </is>
      </c>
    </row>
    <row r="15">
      <c r="A15" s="6" t="inlineStr">
        <is>
          <t>Operating Break-Even Occupied Days</t>
        </is>
      </c>
      <c r="B15" s="5" t="inlineStr">
        <is>
          <t>81.2 Days</t>
        </is>
      </c>
      <c r="C15" s="6" t="inlineStr">
        <is>
          <t>22.3% annual occupancy</t>
        </is>
      </c>
    </row>
    <row r="16">
      <c r="A16" s="6" t="inlineStr">
        <is>
          <t>Cash Debt Break-Even Occupied Days</t>
        </is>
      </c>
      <c r="B16" s="5" t="inlineStr">
        <is>
          <t>110.5 Days</t>
        </is>
      </c>
      <c r="C16" s="6" t="inlineStr">
        <is>
          <t>30.3% annual occupancy</t>
        </is>
      </c>
    </row>
    <row r="17">
      <c r="A17" s="6" t="inlineStr">
        <is>
          <t>Bank Covenant 1.25x Break-Even Days</t>
        </is>
      </c>
      <c r="B17" s="5" t="inlineStr">
        <is>
          <t>117.0 Days</t>
        </is>
      </c>
      <c r="C17" s="6" t="inlineStr">
        <is>
          <t>32.1% annual occupancy</t>
        </is>
      </c>
    </row>
    <row r="18">
      <c r="A18" s="3" t="inlineStr">
        <is>
          <t>3. 24-MONTH EMPIRICAL CASH RUNWAY &amp; CASH TROUGH SCHEDULE (SEGOVIA EMPIRICAL WEIGHTS)</t>
        </is>
      </c>
    </row>
    <row r="19">
      <c r="A19" s="40" t="inlineStr">
        <is>
          <t>Month</t>
        </is>
      </c>
      <c r="B19" s="40" t="inlineStr">
        <is>
          <t>Period</t>
        </is>
      </c>
      <c r="C19" s="40" t="inlineStr">
        <is>
          <t>Occupancy (%)</t>
        </is>
      </c>
      <c r="D19" s="40" t="inlineStr">
        <is>
          <t>Revenue (EUR)</t>
        </is>
      </c>
      <c r="E19" s="40" t="inlineStr">
        <is>
          <t>Var Costs (EUR)</t>
        </is>
      </c>
      <c r="F19" s="40" t="inlineStr">
        <is>
          <t>Contr Margin (EUR)</t>
        </is>
      </c>
      <c r="G19" s="40" t="inlineStr">
        <is>
          <t>Payroll (EUR)</t>
        </is>
      </c>
      <c r="H19" s="40" t="inlineStr">
        <is>
          <t>Fixed OPEX (EUR)</t>
        </is>
      </c>
      <c r="I19" s="40" t="inlineStr">
        <is>
          <t>Debt Svc (EUR)</t>
        </is>
      </c>
      <c r="J19" s="40" t="inlineStr">
        <is>
          <t>Operating CF (EUR)</t>
        </is>
      </c>
      <c r="K19" s="40" t="inlineStr">
        <is>
          <t>LEADER Grant (EUR)</t>
        </is>
      </c>
      <c r="L19" s="40" t="inlineStr">
        <is>
          <t>VAT Refund (EUR)</t>
        </is>
      </c>
      <c r="M19" s="40" t="inlineStr">
        <is>
          <t>Revolver Draw (EUR)</t>
        </is>
      </c>
      <c r="N19" s="40" t="inlineStr">
        <is>
          <t>Ending Cash (EUR)</t>
        </is>
      </c>
      <c r="O19" s="40" t="inlineStr">
        <is>
          <t>Total Liquidity (EUR)</t>
        </is>
      </c>
    </row>
    <row r="20">
      <c r="A20" s="6" t="n">
        <v>1</v>
      </c>
      <c r="B20" s="6" t="inlineStr">
        <is>
          <t>Enero</t>
        </is>
      </c>
      <c r="C20" s="6" t="n">
        <v>13.5</v>
      </c>
      <c r="D20" s="6" t="n">
        <v>6277.49</v>
      </c>
      <c r="E20" s="6" t="n">
        <v>1612.26</v>
      </c>
      <c r="F20" s="6" t="n">
        <v>4665.23</v>
      </c>
      <c r="G20" s="6" t="n">
        <v>5006.25</v>
      </c>
      <c r="H20" s="6" t="n">
        <v>2541.67</v>
      </c>
      <c r="I20" s="6" t="n">
        <v>1225.12</v>
      </c>
      <c r="J20" s="6" t="n">
        <v>-5066.23</v>
      </c>
      <c r="K20" s="6" t="n">
        <v>0</v>
      </c>
      <c r="L20" s="6" t="n">
        <v>0</v>
      </c>
      <c r="M20" s="6" t="n">
        <v>0</v>
      </c>
      <c r="N20" s="6" t="n">
        <v>19933.77</v>
      </c>
      <c r="O20" s="6" t="n">
        <v>194933.77</v>
      </c>
    </row>
    <row r="21">
      <c r="A21" s="6" t="n">
        <v>2</v>
      </c>
      <c r="B21" s="6" t="inlineStr">
        <is>
          <t>Febrero</t>
        </is>
      </c>
      <c r="C21" s="6" t="n">
        <v>15.3</v>
      </c>
      <c r="D21" s="6" t="n">
        <v>6426</v>
      </c>
      <c r="E21" s="6" t="n">
        <v>1650.41</v>
      </c>
      <c r="F21" s="6" t="n">
        <v>4775.59</v>
      </c>
      <c r="G21" s="6" t="n">
        <v>5006.25</v>
      </c>
      <c r="H21" s="6" t="n">
        <v>2541.67</v>
      </c>
      <c r="I21" s="6" t="n">
        <v>1225.12</v>
      </c>
      <c r="J21" s="6" t="n">
        <v>-4960.33</v>
      </c>
      <c r="K21" s="6" t="n">
        <v>0</v>
      </c>
      <c r="L21" s="6" t="n">
        <v>0</v>
      </c>
      <c r="M21" s="6" t="n">
        <v>26.56</v>
      </c>
      <c r="N21" s="6" t="n">
        <v>15000</v>
      </c>
      <c r="O21" s="6" t="n">
        <v>189973.44</v>
      </c>
    </row>
    <row r="22">
      <c r="A22" s="6" t="n">
        <v>3</v>
      </c>
      <c r="B22" s="6" t="inlineStr">
        <is>
          <t>Marzo</t>
        </is>
      </c>
      <c r="C22" s="6" t="n">
        <v>21.6</v>
      </c>
      <c r="D22" s="6" t="n">
        <v>10044</v>
      </c>
      <c r="E22" s="6" t="n">
        <v>2579.63</v>
      </c>
      <c r="F22" s="6" t="n">
        <v>7464.37</v>
      </c>
      <c r="G22" s="6" t="n">
        <v>5006.25</v>
      </c>
      <c r="H22" s="6" t="n">
        <v>2541.67</v>
      </c>
      <c r="I22" s="6" t="n">
        <v>1225.12</v>
      </c>
      <c r="J22" s="6" t="n">
        <v>-2380.09</v>
      </c>
      <c r="K22" s="6" t="n">
        <v>0</v>
      </c>
      <c r="L22" s="6" t="n">
        <v>0</v>
      </c>
      <c r="M22" s="6" t="n">
        <v>2380.09</v>
      </c>
      <c r="N22" s="6" t="n">
        <v>15000</v>
      </c>
      <c r="O22" s="6" t="n">
        <v>187593.35</v>
      </c>
    </row>
    <row r="23">
      <c r="A23" s="46" t="n">
        <v>4</v>
      </c>
      <c r="B23" s="46" t="inlineStr">
        <is>
          <t>Abril</t>
        </is>
      </c>
      <c r="C23" s="46" t="n">
        <v>27.9</v>
      </c>
      <c r="D23" s="46" t="n">
        <v>12555</v>
      </c>
      <c r="E23" s="46" t="n">
        <v>3224.55</v>
      </c>
      <c r="F23" s="46" t="n">
        <v>9330.450000000001</v>
      </c>
      <c r="G23" s="46" t="n">
        <v>5006.25</v>
      </c>
      <c r="H23" s="46" t="n">
        <v>2541.67</v>
      </c>
      <c r="I23" s="46" t="n">
        <v>1225.12</v>
      </c>
      <c r="J23" s="46" t="n">
        <v>-589.34</v>
      </c>
      <c r="K23" s="46" t="n">
        <v>0</v>
      </c>
      <c r="L23" s="46" t="n">
        <v>0</v>
      </c>
      <c r="M23" s="46" t="n">
        <v>589.34</v>
      </c>
      <c r="N23" s="46" t="n">
        <v>15000</v>
      </c>
      <c r="O23" s="46" t="n">
        <v>187004.01</v>
      </c>
    </row>
    <row r="24">
      <c r="A24" s="6" t="n">
        <v>5</v>
      </c>
      <c r="B24" s="6" t="inlineStr">
        <is>
          <t>Mayo</t>
        </is>
      </c>
      <c r="C24" s="6" t="n">
        <v>29.7</v>
      </c>
      <c r="D24" s="6" t="n">
        <v>13810.5</v>
      </c>
      <c r="E24" s="6" t="n">
        <v>3547</v>
      </c>
      <c r="F24" s="6" t="n">
        <v>10263.5</v>
      </c>
      <c r="G24" s="6" t="n">
        <v>5006.25</v>
      </c>
      <c r="H24" s="6" t="n">
        <v>2541.67</v>
      </c>
      <c r="I24" s="6" t="n">
        <v>1225.12</v>
      </c>
      <c r="J24" s="6" t="n">
        <v>306.05</v>
      </c>
      <c r="K24" s="6" t="n">
        <v>0</v>
      </c>
      <c r="L24" s="6" t="n">
        <v>0</v>
      </c>
      <c r="M24" s="6" t="n">
        <v>-306.05</v>
      </c>
      <c r="N24" s="6" t="n">
        <v>15000</v>
      </c>
      <c r="O24" s="6" t="n">
        <v>187310.06</v>
      </c>
    </row>
    <row r="25">
      <c r="A25" s="6" t="n">
        <v>6</v>
      </c>
      <c r="B25" s="6" t="inlineStr">
        <is>
          <t>Junio</t>
        </is>
      </c>
      <c r="C25" s="6" t="n">
        <v>33.3</v>
      </c>
      <c r="D25" s="6" t="n">
        <v>14985</v>
      </c>
      <c r="E25" s="6" t="n">
        <v>3848.64</v>
      </c>
      <c r="F25" s="6" t="n">
        <v>11136.36</v>
      </c>
      <c r="G25" s="6" t="n">
        <v>5006.25</v>
      </c>
      <c r="H25" s="6" t="n">
        <v>2541.67</v>
      </c>
      <c r="I25" s="6" t="n">
        <v>1225.12</v>
      </c>
      <c r="J25" s="6" t="n">
        <v>1143.67</v>
      </c>
      <c r="K25" s="6" t="n">
        <v>0</v>
      </c>
      <c r="L25" s="6" t="n">
        <v>0</v>
      </c>
      <c r="M25" s="6" t="n">
        <v>-1143.67</v>
      </c>
      <c r="N25" s="6" t="n">
        <v>15000</v>
      </c>
      <c r="O25" s="6" t="n">
        <v>188453.73</v>
      </c>
    </row>
    <row r="26">
      <c r="A26" s="6" t="n">
        <v>7</v>
      </c>
      <c r="B26" s="6" t="inlineStr">
        <is>
          <t>Julio</t>
        </is>
      </c>
      <c r="C26" s="6" t="n">
        <v>43.2</v>
      </c>
      <c r="D26" s="6" t="n">
        <v>20088</v>
      </c>
      <c r="E26" s="6" t="n">
        <v>5159.27</v>
      </c>
      <c r="F26" s="6" t="n">
        <v>14928.73</v>
      </c>
      <c r="G26" s="6" t="n">
        <v>5006.25</v>
      </c>
      <c r="H26" s="6" t="n">
        <v>2541.67</v>
      </c>
      <c r="I26" s="6" t="n">
        <v>1225.12</v>
      </c>
      <c r="J26" s="6" t="n">
        <v>4782.95</v>
      </c>
      <c r="K26" s="6" t="n">
        <v>0</v>
      </c>
      <c r="L26" s="6" t="n">
        <v>0</v>
      </c>
      <c r="M26" s="6" t="n">
        <v>-1546.27</v>
      </c>
      <c r="N26" s="6" t="n">
        <v>18236.68</v>
      </c>
      <c r="O26" s="6" t="n">
        <v>193236.68</v>
      </c>
    </row>
    <row r="27">
      <c r="A27" s="6" t="n">
        <v>8</v>
      </c>
      <c r="B27" s="6" t="inlineStr">
        <is>
          <t>Agosto</t>
        </is>
      </c>
      <c r="C27" s="6" t="n">
        <v>48.6</v>
      </c>
      <c r="D27" s="6" t="n">
        <v>22599</v>
      </c>
      <c r="E27" s="6" t="n">
        <v>5804.17</v>
      </c>
      <c r="F27" s="6" t="n">
        <v>16794.83</v>
      </c>
      <c r="G27" s="6" t="n">
        <v>5006.25</v>
      </c>
      <c r="H27" s="6" t="n">
        <v>2541.67</v>
      </c>
      <c r="I27" s="6" t="n">
        <v>1225.12</v>
      </c>
      <c r="J27" s="6" t="n">
        <v>6573.72</v>
      </c>
      <c r="K27" s="6" t="n">
        <v>0</v>
      </c>
      <c r="L27" s="6" t="n">
        <v>0</v>
      </c>
      <c r="M27" s="6" t="n">
        <v>0</v>
      </c>
      <c r="N27" s="6" t="n">
        <v>24810.4</v>
      </c>
      <c r="O27" s="6" t="n">
        <v>199810.4</v>
      </c>
    </row>
    <row r="28">
      <c r="A28" s="6" t="n">
        <v>9</v>
      </c>
      <c r="B28" s="6" t="inlineStr">
        <is>
          <t>Septiembre</t>
        </is>
      </c>
      <c r="C28" s="6" t="n">
        <v>32.4</v>
      </c>
      <c r="D28" s="6" t="n">
        <v>14580</v>
      </c>
      <c r="E28" s="6" t="n">
        <v>3744.63</v>
      </c>
      <c r="F28" s="6" t="n">
        <v>10835.37</v>
      </c>
      <c r="G28" s="6" t="n">
        <v>5006.25</v>
      </c>
      <c r="H28" s="6" t="n">
        <v>2541.67</v>
      </c>
      <c r="I28" s="6" t="n">
        <v>1225.12</v>
      </c>
      <c r="J28" s="6" t="n">
        <v>854.83</v>
      </c>
      <c r="K28" s="6" t="n">
        <v>0</v>
      </c>
      <c r="L28" s="6" t="n">
        <v>0</v>
      </c>
      <c r="M28" s="6" t="n">
        <v>0</v>
      </c>
      <c r="N28" s="6" t="n">
        <v>25665.23</v>
      </c>
      <c r="O28" s="6" t="n">
        <v>200665.23</v>
      </c>
    </row>
    <row r="29">
      <c r="A29" s="6" t="n">
        <v>10</v>
      </c>
      <c r="B29" s="6" t="inlineStr">
        <is>
          <t>Octubre</t>
        </is>
      </c>
      <c r="C29" s="6" t="n">
        <v>27</v>
      </c>
      <c r="D29" s="6" t="n">
        <v>12555</v>
      </c>
      <c r="E29" s="6" t="n">
        <v>3224.54</v>
      </c>
      <c r="F29" s="6" t="n">
        <v>9330.459999999999</v>
      </c>
      <c r="G29" s="6" t="n">
        <v>5006.25</v>
      </c>
      <c r="H29" s="6" t="n">
        <v>2541.67</v>
      </c>
      <c r="I29" s="6" t="n">
        <v>1225.12</v>
      </c>
      <c r="J29" s="6" t="n">
        <v>-589.33</v>
      </c>
      <c r="K29" s="6" t="n">
        <v>0</v>
      </c>
      <c r="L29" s="6" t="n">
        <v>0</v>
      </c>
      <c r="M29" s="6" t="n">
        <v>0</v>
      </c>
      <c r="N29" s="6" t="n">
        <v>25075.9</v>
      </c>
      <c r="O29" s="6" t="n">
        <v>200075.9</v>
      </c>
    </row>
    <row r="30">
      <c r="A30" s="6" t="n">
        <v>11</v>
      </c>
      <c r="B30" s="6" t="inlineStr">
        <is>
          <t>Noviembre</t>
        </is>
      </c>
      <c r="C30" s="6" t="n">
        <v>19.8</v>
      </c>
      <c r="D30" s="6" t="n">
        <v>8910</v>
      </c>
      <c r="E30" s="6" t="n">
        <v>2288.39</v>
      </c>
      <c r="F30" s="6" t="n">
        <v>6621.61</v>
      </c>
      <c r="G30" s="6" t="n">
        <v>5006.25</v>
      </c>
      <c r="H30" s="6" t="n">
        <v>2541.67</v>
      </c>
      <c r="I30" s="6" t="n">
        <v>1225.12</v>
      </c>
      <c r="J30" s="6" t="n">
        <v>-3188.83</v>
      </c>
      <c r="K30" s="6" t="n">
        <v>0</v>
      </c>
      <c r="L30" s="6" t="n">
        <v>0</v>
      </c>
      <c r="M30" s="6" t="n">
        <v>0</v>
      </c>
      <c r="N30" s="6" t="n">
        <v>21887.07</v>
      </c>
      <c r="O30" s="6" t="n">
        <v>196887.07</v>
      </c>
    </row>
    <row r="31">
      <c r="A31" s="6" t="n">
        <v>12</v>
      </c>
      <c r="B31" s="6" t="inlineStr">
        <is>
          <t>Diciembre</t>
        </is>
      </c>
      <c r="C31" s="6" t="n">
        <v>25.2</v>
      </c>
      <c r="D31" s="6" t="n">
        <v>11718.01</v>
      </c>
      <c r="E31" s="6" t="n">
        <v>3009.59</v>
      </c>
      <c r="F31" s="6" t="n">
        <v>8708.42</v>
      </c>
      <c r="G31" s="6" t="n">
        <v>5006.25</v>
      </c>
      <c r="H31" s="6" t="n">
        <v>2541.63</v>
      </c>
      <c r="I31" s="6" t="n">
        <v>1225.12</v>
      </c>
      <c r="J31" s="6" t="n">
        <v>-1186.23</v>
      </c>
      <c r="K31" s="6" t="n">
        <v>0</v>
      </c>
      <c r="L31" s="6" t="n">
        <v>0</v>
      </c>
      <c r="M31" s="6" t="n">
        <v>0</v>
      </c>
      <c r="N31" s="6" t="n">
        <v>20700.88</v>
      </c>
      <c r="O31" s="6" t="n">
        <v>195700.88</v>
      </c>
    </row>
    <row r="32">
      <c r="A32" s="6" t="n">
        <v>13</v>
      </c>
      <c r="B32" s="6" t="inlineStr">
        <is>
          <t>Enero</t>
        </is>
      </c>
      <c r="C32" s="6" t="n">
        <v>15</v>
      </c>
      <c r="D32" s="6" t="n">
        <v>6975</v>
      </c>
      <c r="E32" s="6" t="n">
        <v>1791.42</v>
      </c>
      <c r="F32" s="6" t="n">
        <v>5183.58</v>
      </c>
      <c r="G32" s="6" t="n">
        <v>5006.25</v>
      </c>
      <c r="H32" s="6" t="n">
        <v>2541.67</v>
      </c>
      <c r="I32" s="6" t="n">
        <v>2303.97</v>
      </c>
      <c r="J32" s="6" t="n">
        <v>-4568.81</v>
      </c>
      <c r="K32" s="6" t="n">
        <v>0</v>
      </c>
      <c r="L32" s="6" t="n">
        <v>0</v>
      </c>
      <c r="M32" s="6" t="n">
        <v>0</v>
      </c>
      <c r="N32" s="6" t="n">
        <v>15053.22</v>
      </c>
      <c r="O32" s="6" t="n">
        <v>190053.22</v>
      </c>
    </row>
    <row r="33">
      <c r="A33" s="6" t="n">
        <v>14</v>
      </c>
      <c r="B33" s="6" t="inlineStr">
        <is>
          <t>Febrero</t>
        </is>
      </c>
      <c r="C33" s="6" t="n">
        <v>17</v>
      </c>
      <c r="D33" s="6" t="n">
        <v>7140</v>
      </c>
      <c r="E33" s="6" t="n">
        <v>1833.79</v>
      </c>
      <c r="F33" s="6" t="n">
        <v>5306.21</v>
      </c>
      <c r="G33" s="6" t="n">
        <v>5006.25</v>
      </c>
      <c r="H33" s="6" t="n">
        <v>2541.67</v>
      </c>
      <c r="I33" s="6" t="n">
        <v>2303.97</v>
      </c>
      <c r="J33" s="6" t="n">
        <v>-4447.53</v>
      </c>
      <c r="K33" s="6" t="n">
        <v>163000</v>
      </c>
      <c r="L33" s="6" t="n">
        <v>0</v>
      </c>
      <c r="M33" s="6" t="n">
        <v>0</v>
      </c>
      <c r="N33" s="6" t="n">
        <v>172523.24</v>
      </c>
      <c r="O33" s="6" t="n">
        <v>347523.24</v>
      </c>
    </row>
    <row r="34">
      <c r="A34" s="6" t="n">
        <v>15</v>
      </c>
      <c r="B34" s="6" t="inlineStr">
        <is>
          <t>Marzo</t>
        </is>
      </c>
      <c r="C34" s="6" t="n">
        <v>24</v>
      </c>
      <c r="D34" s="6" t="n">
        <v>11160</v>
      </c>
      <c r="E34" s="6" t="n">
        <v>2866.26</v>
      </c>
      <c r="F34" s="6" t="n">
        <v>8293.74</v>
      </c>
      <c r="G34" s="6" t="n">
        <v>5006.25</v>
      </c>
      <c r="H34" s="6" t="n">
        <v>2541.67</v>
      </c>
      <c r="I34" s="6" t="n">
        <v>2303.97</v>
      </c>
      <c r="J34" s="6" t="n">
        <v>-1576.99</v>
      </c>
      <c r="K34" s="6" t="n">
        <v>0</v>
      </c>
      <c r="L34" s="6" t="n">
        <v>0</v>
      </c>
      <c r="M34" s="6" t="n">
        <v>0</v>
      </c>
      <c r="N34" s="6" t="n">
        <v>169860.19</v>
      </c>
      <c r="O34" s="6" t="n">
        <v>344860.19</v>
      </c>
    </row>
    <row r="35">
      <c r="A35" s="6" t="n">
        <v>16</v>
      </c>
      <c r="B35" s="6" t="inlineStr">
        <is>
          <t>Abril</t>
        </is>
      </c>
      <c r="C35" s="6" t="n">
        <v>31</v>
      </c>
      <c r="D35" s="6" t="n">
        <v>13950</v>
      </c>
      <c r="E35" s="6" t="n">
        <v>3582.83</v>
      </c>
      <c r="F35" s="6" t="n">
        <v>10367.17</v>
      </c>
      <c r="G35" s="6" t="n">
        <v>5006.25</v>
      </c>
      <c r="H35" s="6" t="n">
        <v>2541.67</v>
      </c>
      <c r="I35" s="6" t="n">
        <v>2303.97</v>
      </c>
      <c r="J35" s="6" t="n">
        <v>416.36</v>
      </c>
      <c r="K35" s="6" t="n">
        <v>0</v>
      </c>
      <c r="L35" s="6" t="n">
        <v>0</v>
      </c>
      <c r="M35" s="6" t="n">
        <v>0</v>
      </c>
      <c r="N35" s="6" t="n">
        <v>169186.87</v>
      </c>
      <c r="O35" s="6" t="n">
        <v>344186.87</v>
      </c>
    </row>
    <row r="36">
      <c r="A36" s="6" t="n">
        <v>17</v>
      </c>
      <c r="B36" s="6" t="inlineStr">
        <is>
          <t>Mayo</t>
        </is>
      </c>
      <c r="C36" s="6" t="n">
        <v>33</v>
      </c>
      <c r="D36" s="6" t="n">
        <v>15345</v>
      </c>
      <c r="E36" s="6" t="n">
        <v>3941.11</v>
      </c>
      <c r="F36" s="6" t="n">
        <v>11403.89</v>
      </c>
      <c r="G36" s="6" t="n">
        <v>5006.25</v>
      </c>
      <c r="H36" s="6" t="n">
        <v>2541.67</v>
      </c>
      <c r="I36" s="6" t="n">
        <v>2303.97</v>
      </c>
      <c r="J36" s="6" t="n">
        <v>1414.86</v>
      </c>
      <c r="K36" s="6" t="n">
        <v>0</v>
      </c>
      <c r="L36" s="6" t="n">
        <v>0</v>
      </c>
      <c r="M36" s="6" t="n">
        <v>0</v>
      </c>
      <c r="N36" s="6" t="n">
        <v>169508.42</v>
      </c>
      <c r="O36" s="6" t="n">
        <v>344508.42</v>
      </c>
    </row>
    <row r="37">
      <c r="A37" s="6" t="n">
        <v>18</v>
      </c>
      <c r="B37" s="6" t="inlineStr">
        <is>
          <t>Junio</t>
        </is>
      </c>
      <c r="C37" s="6" t="n">
        <v>37</v>
      </c>
      <c r="D37" s="6" t="n">
        <v>16650</v>
      </c>
      <c r="E37" s="6" t="n">
        <v>4276.28</v>
      </c>
      <c r="F37" s="6" t="n">
        <v>12373.72</v>
      </c>
      <c r="G37" s="6" t="n">
        <v>5006.25</v>
      </c>
      <c r="H37" s="6" t="n">
        <v>2541.67</v>
      </c>
      <c r="I37" s="6" t="n">
        <v>2303.97</v>
      </c>
      <c r="J37" s="6" t="n">
        <v>2349.18</v>
      </c>
      <c r="K37" s="6" t="n">
        <v>0</v>
      </c>
      <c r="L37" s="6" t="n">
        <v>168021</v>
      </c>
      <c r="M37" s="6" t="n">
        <v>0</v>
      </c>
      <c r="N37" s="6" t="n">
        <v>170760.65</v>
      </c>
      <c r="O37" s="6" t="n">
        <v>345760.65</v>
      </c>
    </row>
    <row r="38">
      <c r="A38" s="6" t="n">
        <v>19</v>
      </c>
      <c r="B38" s="6" t="inlineStr">
        <is>
          <t>Julio</t>
        </is>
      </c>
      <c r="C38" s="6" t="n">
        <v>48</v>
      </c>
      <c r="D38" s="6" t="n">
        <v>22320</v>
      </c>
      <c r="E38" s="6" t="n">
        <v>5732.52</v>
      </c>
      <c r="F38" s="6" t="n">
        <v>16587.48</v>
      </c>
      <c r="G38" s="6" t="n">
        <v>5006.25</v>
      </c>
      <c r="H38" s="6" t="n">
        <v>2541.67</v>
      </c>
      <c r="I38" s="6" t="n">
        <v>2303.97</v>
      </c>
      <c r="J38" s="6" t="n">
        <v>7166.6</v>
      </c>
      <c r="K38" s="6" t="n">
        <v>0</v>
      </c>
      <c r="L38" s="6" t="n">
        <v>0</v>
      </c>
      <c r="M38" s="6" t="n">
        <v>0</v>
      </c>
      <c r="N38" s="6" t="n">
        <v>176826.64</v>
      </c>
      <c r="O38" s="6" t="n">
        <v>351826.64</v>
      </c>
    </row>
    <row r="39">
      <c r="A39" s="6" t="n">
        <v>20</v>
      </c>
      <c r="B39" s="6" t="inlineStr">
        <is>
          <t>Agosto</t>
        </is>
      </c>
      <c r="C39" s="6" t="n">
        <v>54</v>
      </c>
      <c r="D39" s="6" t="n">
        <v>25110</v>
      </c>
      <c r="E39" s="6" t="n">
        <v>6449.09</v>
      </c>
      <c r="F39" s="6" t="n">
        <v>18660.91</v>
      </c>
      <c r="G39" s="6" t="n">
        <v>5006.25</v>
      </c>
      <c r="H39" s="6" t="n">
        <v>2541.67</v>
      </c>
      <c r="I39" s="6" t="n">
        <v>2303.97</v>
      </c>
      <c r="J39" s="6" t="n">
        <v>9160</v>
      </c>
      <c r="K39" s="6" t="n">
        <v>0</v>
      </c>
      <c r="L39" s="6" t="n">
        <v>0</v>
      </c>
      <c r="M39" s="6" t="n">
        <v>0</v>
      </c>
      <c r="N39" s="6" t="n">
        <v>184882.36</v>
      </c>
      <c r="O39" s="6" t="n">
        <v>359882.36</v>
      </c>
    </row>
    <row r="40">
      <c r="A40" s="6" t="n">
        <v>21</v>
      </c>
      <c r="B40" s="6" t="inlineStr">
        <is>
          <t>Septiembre</t>
        </is>
      </c>
      <c r="C40" s="6" t="n">
        <v>36</v>
      </c>
      <c r="D40" s="6" t="n">
        <v>16200</v>
      </c>
      <c r="E40" s="6" t="n">
        <v>4160.7</v>
      </c>
      <c r="F40" s="6" t="n">
        <v>12039.3</v>
      </c>
      <c r="G40" s="6" t="n">
        <v>5006.25</v>
      </c>
      <c r="H40" s="6" t="n">
        <v>2541.67</v>
      </c>
      <c r="I40" s="6" t="n">
        <v>2303.97</v>
      </c>
      <c r="J40" s="6" t="n">
        <v>2809.37</v>
      </c>
      <c r="K40" s="6" t="n">
        <v>0</v>
      </c>
      <c r="L40" s="6" t="n">
        <v>0</v>
      </c>
      <c r="M40" s="6" t="n">
        <v>0</v>
      </c>
      <c r="N40" s="6" t="n">
        <v>186583.77</v>
      </c>
      <c r="O40" s="6" t="n">
        <v>361583.77</v>
      </c>
    </row>
    <row r="41">
      <c r="A41" s="6" t="n">
        <v>22</v>
      </c>
      <c r="B41" s="6" t="inlineStr">
        <is>
          <t>Octubre</t>
        </is>
      </c>
      <c r="C41" s="6" t="n">
        <v>30</v>
      </c>
      <c r="D41" s="6" t="n">
        <v>13950</v>
      </c>
      <c r="E41" s="6" t="n">
        <v>3582.83</v>
      </c>
      <c r="F41" s="6" t="n">
        <v>10367.17</v>
      </c>
      <c r="G41" s="6" t="n">
        <v>5006.25</v>
      </c>
      <c r="H41" s="6" t="n">
        <v>2541.67</v>
      </c>
      <c r="I41" s="6" t="n">
        <v>2303.97</v>
      </c>
      <c r="J41" s="6" t="n">
        <v>1208.43</v>
      </c>
      <c r="K41" s="6" t="n">
        <v>0</v>
      </c>
      <c r="L41" s="6" t="n">
        <v>0</v>
      </c>
      <c r="M41" s="6" t="n">
        <v>0</v>
      </c>
      <c r="N41" s="6" t="n">
        <v>186680.55</v>
      </c>
      <c r="O41" s="6" t="n">
        <v>361680.55</v>
      </c>
    </row>
    <row r="42">
      <c r="A42" s="6" t="n">
        <v>23</v>
      </c>
      <c r="B42" s="6" t="inlineStr">
        <is>
          <t>Noviembre</t>
        </is>
      </c>
      <c r="C42" s="6" t="n">
        <v>22</v>
      </c>
      <c r="D42" s="6" t="n">
        <v>9900</v>
      </c>
      <c r="E42" s="6" t="n">
        <v>2542.65</v>
      </c>
      <c r="F42" s="6" t="n">
        <v>7357.35</v>
      </c>
      <c r="G42" s="6" t="n">
        <v>5006.25</v>
      </c>
      <c r="H42" s="6" t="n">
        <v>2541.67</v>
      </c>
      <c r="I42" s="6" t="n">
        <v>2303.97</v>
      </c>
      <c r="J42" s="6" t="n">
        <v>-1676.18</v>
      </c>
      <c r="K42" s="6" t="n">
        <v>0</v>
      </c>
      <c r="L42" s="6" t="n">
        <v>0</v>
      </c>
      <c r="M42" s="6" t="n">
        <v>0</v>
      </c>
      <c r="N42" s="6" t="n">
        <v>183889.01</v>
      </c>
      <c r="O42" s="6" t="n">
        <v>358889.01</v>
      </c>
    </row>
    <row r="43">
      <c r="A43" s="6" t="n">
        <v>24</v>
      </c>
      <c r="B43" s="6" t="inlineStr">
        <is>
          <t>Diciembre</t>
        </is>
      </c>
      <c r="C43" s="6" t="n">
        <v>28</v>
      </c>
      <c r="D43" s="6" t="n">
        <v>13020</v>
      </c>
      <c r="E43" s="6" t="n">
        <v>3343.94</v>
      </c>
      <c r="F43" s="6" t="n">
        <v>9676.059999999999</v>
      </c>
      <c r="G43" s="6" t="n">
        <v>5006.25</v>
      </c>
      <c r="H43" s="6" t="n">
        <v>2541.63</v>
      </c>
      <c r="I43" s="6" t="n">
        <v>2303.97</v>
      </c>
      <c r="J43" s="6" t="n">
        <v>552.6900000000001</v>
      </c>
      <c r="K43" s="6" t="n">
        <v>0</v>
      </c>
      <c r="L43" s="6" t="n">
        <v>0</v>
      </c>
      <c r="M43" s="6" t="n">
        <v>0</v>
      </c>
      <c r="N43" s="6" t="n">
        <v>183322.64</v>
      </c>
      <c r="O43" s="6" t="n">
        <v>358322.64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showGridLines="1" workbookViewId="0">
      <selection activeCell="A1" sqref="A1"/>
    </sheetView>
  </sheetViews>
  <sheetFormatPr baseColWidth="8" defaultRowHeight="15"/>
  <cols>
    <col width="42" customWidth="1" min="1" max="1"/>
    <col width="22" customWidth="1" min="2" max="2"/>
    <col width="42" customWidth="1" min="3" max="3"/>
    <col width="16" customWidth="1" min="4" max="4"/>
    <col width="42" customWidth="1" min="5" max="5"/>
    <col width="21" customWidth="1" min="6" max="6"/>
    <col width="42" customWidth="1" min="7" max="7"/>
    <col width="13" customWidth="1" min="8" max="8"/>
    <col width="16" customWidth="1" min="9" max="9"/>
    <col width="19" customWidth="1" min="10" max="10"/>
    <col width="23" customWidth="1" min="11" max="11"/>
    <col width="23" customWidth="1" min="12" max="12"/>
  </cols>
  <sheetData>
    <row r="1">
      <c r="A1" s="1" t="inlineStr">
        <is>
          <t>PHASE II EXPANSION: LANDSCAPE HOTEL SUITES &amp; BIOLOGICAL RESERVOIR (VALUE-ADD)</t>
        </is>
      </c>
    </row>
    <row r="2"/>
    <row r="3">
      <c r="A3" s="3" t="inlineStr">
        <is>
          <t>1. PHASE II ALL-IN CAPEX &amp; EXECUTION BUDGET (110 M² SUITES + 200 M² POND)</t>
        </is>
      </c>
      <c r="E3" s="3" t="inlineStr">
        <is>
          <t>2. INVESTMENT RETURNS &amp; CAPITAL ALLOCATION METRICS</t>
        </is>
      </c>
    </row>
    <row r="4">
      <c r="A4" s="40" t="inlineStr">
        <is>
          <t>CapEx Investment Chapter</t>
        </is>
      </c>
      <c r="B4" s="40" t="inlineStr">
        <is>
          <t>Budget (EUR)</t>
        </is>
      </c>
      <c r="C4" s="40" t="inlineStr">
        <is>
          <t>Technical Benchmark / Repercussion</t>
        </is>
      </c>
      <c r="E4" s="40" t="inlineStr">
        <is>
          <t>Return / Underwriting Parameter</t>
        </is>
      </c>
      <c r="F4" s="40" t="inlineStr">
        <is>
          <t>Metric Value</t>
        </is>
      </c>
      <c r="G4" s="40" t="inlineStr">
        <is>
          <t>Strategic Interpretation</t>
        </is>
      </c>
    </row>
    <row r="5">
      <c r="A5" s="6" t="inlineStr">
        <is>
          <t>Pure Building PEM (Foundations, Stone, Timber, Glazing, HVAC, Bath)</t>
        </is>
      </c>
      <c r="B5" s="5" t="inlineStr">
        <is>
          <t>161,500.00 EUR</t>
        </is>
      </c>
      <c r="C5" s="6" t="inlineStr">
        <is>
          <t>1,468.18 EUR/m² built (110 m²)</t>
        </is>
      </c>
      <c r="E5" s="6" t="inlineStr">
        <is>
          <t>Stabilized Year 3 Gross Revenue</t>
        </is>
      </c>
      <c r="F5" s="5" t="inlineStr">
        <is>
          <t>102,327.75 EUR</t>
        </is>
      </c>
      <c r="G5" s="6" t="inlineStr">
        <is>
          <t>ADR 290 EUR net | 50% Occ (365 nights)</t>
        </is>
      </c>
    </row>
    <row r="6">
      <c r="A6" s="6" t="inlineStr">
        <is>
          <t>Contractor PEC - Pure Building (13% GG + 6% BI)</t>
        </is>
      </c>
      <c r="B6" s="5" t="inlineStr">
        <is>
          <t>192,185.00 EUR</t>
        </is>
      </c>
      <c r="C6" s="6" t="inlineStr">
        <is>
          <t>1,747.14 EUR/m² built</t>
        </is>
      </c>
      <c r="E6" s="6" t="inlineStr">
        <is>
          <t>Stabilized Year 3 Contribution Margin</t>
        </is>
      </c>
      <c r="F6" s="5" t="inlineStr">
        <is>
          <t>79,814.37 EUR</t>
        </is>
      </c>
      <c r="G6" s="6" t="inlineStr">
        <is>
          <t>78.00% contribution margin</t>
        </is>
      </c>
    </row>
    <row r="7">
      <c r="A7" s="6" t="inlineStr">
        <is>
          <t>Estate Utilities &amp; Trenching Across 25 Ha (Water, Power, Bio-Sewage)</t>
        </is>
      </c>
      <c r="B7" s="5" t="inlineStr">
        <is>
          <t>37,485.00 EUR</t>
        </is>
      </c>
      <c r="C7" s="6" t="inlineStr">
        <is>
          <t>37,485.00 EUR PEC</t>
        </is>
      </c>
      <c r="E7" s="6" t="inlineStr">
        <is>
          <t>Stabilized Year 3 Incremental EBITDA</t>
        </is>
      </c>
      <c r="F7" s="5" t="inlineStr">
        <is>
          <t>37,414.37 EUR</t>
        </is>
      </c>
      <c r="G7" s="6" t="inlineStr">
        <is>
          <t>36.56% EBITDA margin</t>
        </is>
      </c>
    </row>
    <row r="8">
      <c r="A8" s="6" t="inlineStr">
        <is>
          <t>5-Star FF&amp;E, High-End Textiles, Porch &amp; Exterior Hot Tub</t>
        </is>
      </c>
      <c r="B8" s="5" t="inlineStr">
        <is>
          <t>41,650.00 EUR</t>
        </is>
      </c>
      <c r="C8" s="6" t="inlineStr">
        <is>
          <t>41,650.00 EUR PEC (2 suites)</t>
        </is>
      </c>
      <c r="E8" s="6" t="inlineStr">
        <is>
          <t>Stabilized Year 3 Free Cash Flow (Post-Tax)</t>
        </is>
      </c>
      <c r="F8" s="5" t="inlineStr">
        <is>
          <t>30,063.88 EUR</t>
        </is>
      </c>
      <c r="G8" s="6" t="inlineStr">
        <is>
          <t>Clean cash flow net of 2% FF&amp;E reserve</t>
        </is>
      </c>
    </row>
    <row r="9">
      <c r="A9" s="6" t="inlineStr">
        <is>
          <t>Biological Pond (200 m² EPDM, Biofilter, Zeolites, Cascade, Flora)</t>
        </is>
      </c>
      <c r="B9" s="5" t="inlineStr">
        <is>
          <t>38,080.00 EUR</t>
        </is>
      </c>
      <c r="C9" s="6" t="inlineStr">
        <is>
          <t>38,080.00 EUR PEC (190.40 EUR/m² water)</t>
        </is>
      </c>
      <c r="E9" s="6" t="inlineStr">
        <is>
          <t>Development Yield on Cost (EBITDA / CapEx)</t>
        </is>
      </c>
      <c r="F9" s="5" t="inlineStr">
        <is>
          <t>10.39%</t>
        </is>
      </c>
      <c r="G9" s="6" t="inlineStr">
        <is>
          <t>Unlevered gross development yield</t>
        </is>
      </c>
    </row>
    <row r="10">
      <c r="A10" s="6" t="inlineStr">
        <is>
          <t>TOTAL CONTRACTOR WORKS PEC (Capítulo 1 al 8)</t>
        </is>
      </c>
      <c r="B10" s="5" t="inlineStr">
        <is>
          <t>309,400.00 EUR</t>
        </is>
      </c>
      <c r="C10" s="6" t="inlineStr">
        <is>
          <t>2,812.73 EUR/m² repercutido</t>
        </is>
      </c>
      <c r="E10" s="6" t="inlineStr">
        <is>
          <t>Return on Invested Capital (ROIC Y3)</t>
        </is>
      </c>
      <c r="F10" s="5" t="inlineStr">
        <is>
          <t>4.42%</t>
        </is>
      </c>
      <c r="G10" s="6" t="inlineStr">
        <is>
          <t>+938 bps spread over 8.0% WACC</t>
        </is>
      </c>
    </row>
    <row r="11">
      <c r="A11" s="6" t="inlineStr">
        <is>
          <t>Architecture, Engineering &amp; Project Management Fees (9.0% PEM)</t>
        </is>
      </c>
      <c r="B11" s="5" t="inlineStr">
        <is>
          <t>23,400.00 EUR</t>
        </is>
      </c>
      <c r="C11" s="6" t="inlineStr">
        <is>
          <t>Complete technical project &amp; permits</t>
        </is>
      </c>
      <c r="E11" s="6" t="inlineStr">
        <is>
          <t>Simple EBITDA Payback Period</t>
        </is>
      </c>
      <c r="F11" s="5" t="inlineStr">
        <is>
          <t>10.10 Years</t>
        </is>
      </c>
      <c r="G11" s="6" t="inlineStr">
        <is>
          <t>47.6 months recovery</t>
        </is>
      </c>
    </row>
    <row r="12">
      <c r="A12" s="6" t="inlineStr">
        <is>
          <t>Municipal Taxes, Urban Fees &amp; ICIO (4.5% PEM)</t>
        </is>
      </c>
      <c r="B12" s="5" t="inlineStr">
        <is>
          <t>11,700.00 EUR</t>
        </is>
      </c>
      <c r="C12" s="6" t="inlineStr">
        <is>
          <t>Segovia rural municipality rate</t>
        </is>
      </c>
      <c r="E12" s="6" t="inlineStr">
        <is>
          <t>Simple Post-Tax FCF Payback Period</t>
        </is>
      </c>
      <c r="F12" s="5" t="inlineStr">
        <is>
          <t>12.34 Years</t>
        </is>
      </c>
      <c r="G12" s="6" t="inlineStr">
        <is>
          <t>61.2 months recovery</t>
        </is>
      </c>
    </row>
    <row r="13">
      <c r="A13" s="6" t="inlineStr">
        <is>
          <t>Contingency Reserve (5.0% PEC)</t>
        </is>
      </c>
      <c r="B13" s="5" t="inlineStr">
        <is>
          <t>15,470.00 EUR</t>
        </is>
      </c>
      <c r="C13" s="6" t="inlineStr">
        <is>
          <t>Granite rock &amp; unforeseen works</t>
        </is>
      </c>
      <c r="E13" s="6" t="inlineStr">
        <is>
          <t>Year 5 Exit Valuation @ 8.5% Cap Rate</t>
        </is>
      </c>
      <c r="F13" s="5" t="inlineStr">
        <is>
          <t>457,951.86 EUR</t>
        </is>
      </c>
      <c r="G13" s="6" t="inlineStr">
        <is>
          <t>Net gain: +97,981.86 EUR</t>
        </is>
      </c>
    </row>
    <row r="14">
      <c r="A14" s="6" t="inlineStr">
        <is>
          <t>TOTAL ALL-IN EXPANSION CAPEX (Net of Deductible VAT)</t>
        </is>
      </c>
      <c r="B14" s="5" t="inlineStr">
        <is>
          <t>359,970.00 EUR</t>
        </is>
      </c>
      <c r="C14" s="6" t="inlineStr">
        <is>
          <t>179,985.00 EUR all-in per suite</t>
        </is>
      </c>
      <c r="E14" s="6" t="inlineStr">
        <is>
          <t>5-Year Post-Tax IRR with Exit (8.5% Cap Rate)</t>
        </is>
      </c>
      <c r="F14" s="5" t="inlineStr">
        <is>
          <t>11.42%</t>
        </is>
      </c>
      <c r="G14" s="6" t="inlineStr">
        <is>
          <t>MOIC: 1.64x</t>
        </is>
      </c>
    </row>
    <row r="15">
      <c r="A15" s="6" t="inlineStr">
        <is>
          <t>Financing Structure (Phase-Gated)</t>
        </is>
      </c>
      <c r="B15" s="5" t="inlineStr">
        <is>
          <t>-252,241.06 EUR gap</t>
        </is>
      </c>
      <c r="C15" s="6" t="inlineStr">
        <is>
          <t>Phase I cash &lt; Phase II need; do not double-count LEADER + VAT</t>
        </is>
      </c>
      <c r="E15" s="6" t="inlineStr">
        <is>
          <t>Realistic Scenario EBITDA (30% occ + 1 FTE)</t>
        </is>
      </c>
      <c r="F15" s="5" t="inlineStr">
        <is>
          <t>20,156.80 EUR</t>
        </is>
      </c>
      <c r="G15" s="6" t="inlineStr">
        <is>
          <t>IRR: -2.8%</t>
        </is>
      </c>
    </row>
    <row r="16">
      <c r="E16" s="6" t="inlineStr">
        <is>
          <t>Stress Scenario EBITDA (INE 21.24% occ + 1 FTE)</t>
        </is>
      </c>
      <c r="F16" s="5" t="inlineStr">
        <is>
          <t>-4,393.65 EUR</t>
        </is>
      </c>
      <c r="G16" s="6" t="inlineStr">
        <is>
          <t>IRR: 0.0%</t>
        </is>
      </c>
    </row>
    <row r="17">
      <c r="E17" s="6" t="inlineStr">
        <is>
          <t>Phase II Cash Need (net CapEx + VAT)</t>
        </is>
      </c>
      <c r="F17" s="5" t="inlineStr">
        <is>
          <t>435,563.70 EUR</t>
        </is>
      </c>
      <c r="G17" s="6" t="inlineStr">
        <is>
          <t>EUR 359,970 + EUR 75,593.70 input VAT</t>
        </is>
      </c>
    </row>
    <row r="18">
      <c r="E18" s="6" t="inlineStr">
        <is>
          <t>Phase I Cash at End of Year 2</t>
        </is>
      </c>
      <c r="F18" s="5" t="inlineStr">
        <is>
          <t>183,322.64 EUR</t>
        </is>
      </c>
      <c r="G18" s="6" t="inlineStr">
        <is>
          <t>Available for Phase II</t>
        </is>
      </c>
    </row>
    <row r="19">
      <c r="E19" s="6" t="inlineStr">
        <is>
          <t>Phase II Funding Gap</t>
        </is>
      </c>
      <c r="F19" s="5" t="inlineStr">
        <is>
          <t>-252,241.06 EUR</t>
        </is>
      </c>
      <c r="G19" s="6" t="inlineStr">
        <is>
          <t>Negative = not self-funded; raise additional funding</t>
        </is>
      </c>
    </row>
    <row r="20">
      <c r="E20" s="6" t="inlineStr">
        <is>
          <t>Consolidated Group EBITDA (Phase I + realistic Phase II)</t>
        </is>
      </c>
      <c r="F20" s="5" t="inlineStr">
        <is>
          <t>57,198.38 EUR</t>
        </is>
      </c>
      <c r="G20" s="6" t="inlineStr">
        <is>
          <t>+54.4% vs Phase I baseline (if funded)</t>
        </is>
      </c>
    </row>
    <row r="21">
      <c r="E21" s="6" t="inlineStr">
        <is>
          <t>Consolidated DSCR (CFADS basis)</t>
        </is>
      </c>
      <c r="F21" s="5" t="inlineStr">
        <is>
          <t>1.79x</t>
        </is>
      </c>
      <c r="G21" s="6" t="inlineStr">
        <is>
          <t>1.15x standalone to 1.79x consolidated (no new senior debt)</t>
        </is>
      </c>
    </row>
    <row r="22"/>
    <row r="23"/>
    <row r="24"/>
    <row r="25">
      <c r="A25" s="3" t="inlineStr">
        <is>
          <t>3. 5-YEAR COMMERCIAL RAMP-UP &amp; CASH FLOW TRAJECTORY SCHEDULE</t>
        </is>
      </c>
    </row>
    <row r="26">
      <c r="A26" s="40" t="inlineStr">
        <is>
          <t>Year</t>
        </is>
      </c>
      <c r="B26" s="40" t="inlineStr">
        <is>
          <t>Occupancy (%)</t>
        </is>
      </c>
      <c r="C26" s="40" t="inlineStr">
        <is>
          <t>Nights Sold</t>
        </is>
      </c>
      <c r="D26" s="40" t="inlineStr">
        <is>
          <t>ADR Net (EUR)</t>
        </is>
      </c>
      <c r="E26" s="40" t="inlineStr">
        <is>
          <t>Revenue (EUR)</t>
        </is>
      </c>
      <c r="F26" s="40" t="inlineStr">
        <is>
          <t>Contr Margin (EUR)</t>
        </is>
      </c>
      <c r="G26" s="40" t="inlineStr">
        <is>
          <t>EBITDA (EUR)</t>
        </is>
      </c>
      <c r="H26" s="40" t="inlineStr">
        <is>
          <t>EBIT (EUR)</t>
        </is>
      </c>
      <c r="I26" s="40" t="inlineStr">
        <is>
          <t>Tax 25% (EUR)</t>
        </is>
      </c>
      <c r="J26" s="40" t="inlineStr">
        <is>
          <t>Net Income (EUR)</t>
        </is>
      </c>
      <c r="K26" s="40" t="inlineStr">
        <is>
          <t>Free Cash Flow (EUR)</t>
        </is>
      </c>
      <c r="L26" s="40" t="inlineStr">
        <is>
          <t>Discounted FCF (EUR)</t>
        </is>
      </c>
    </row>
    <row r="27">
      <c r="A27" s="6" t="n">
        <v>1</v>
      </c>
      <c r="B27" s="6" t="inlineStr">
        <is>
          <t>26.2%</t>
        </is>
      </c>
      <c r="C27" s="6" t="n">
        <v>191.62</v>
      </c>
      <c r="D27" s="6" t="n">
        <v>290</v>
      </c>
      <c r="E27" s="6" t="n">
        <v>76745.81</v>
      </c>
      <c r="F27" s="6" t="n">
        <v>59860.78</v>
      </c>
      <c r="G27" s="6" t="n">
        <v>17460.78</v>
      </c>
      <c r="H27" s="6" t="n">
        <v>1262.13</v>
      </c>
      <c r="I27" s="6" t="n">
        <v>315.53</v>
      </c>
      <c r="J27" s="6" t="n">
        <v>946.59</v>
      </c>
      <c r="K27" s="6" t="n">
        <v>15610.33</v>
      </c>
      <c r="L27" s="6" t="n">
        <v>14454.01</v>
      </c>
    </row>
    <row r="28">
      <c r="A28" s="6" t="n">
        <v>2</v>
      </c>
      <c r="B28" s="6" t="inlineStr">
        <is>
          <t>31.5%</t>
        </is>
      </c>
      <c r="C28" s="6" t="n">
        <v>229.95</v>
      </c>
      <c r="D28" s="6" t="n">
        <v>290</v>
      </c>
      <c r="E28" s="6" t="n">
        <v>92094.98</v>
      </c>
      <c r="F28" s="6" t="n">
        <v>71832.92999999999</v>
      </c>
      <c r="G28" s="6" t="n">
        <v>29432.93</v>
      </c>
      <c r="H28" s="6" t="n">
        <v>13234.28</v>
      </c>
      <c r="I28" s="6" t="n">
        <v>3308.57</v>
      </c>
      <c r="J28" s="6" t="n">
        <v>9925.709999999999</v>
      </c>
      <c r="K28" s="6" t="n">
        <v>24282.46</v>
      </c>
      <c r="L28" s="6" t="n">
        <v>20818.3</v>
      </c>
    </row>
    <row r="29">
      <c r="A29" s="6" t="n">
        <v>3</v>
      </c>
      <c r="B29" s="6" t="inlineStr">
        <is>
          <t>35.0%</t>
        </is>
      </c>
      <c r="C29" s="6" t="n">
        <v>255.5</v>
      </c>
      <c r="D29" s="6" t="n">
        <v>290</v>
      </c>
      <c r="E29" s="6" t="n">
        <v>102327.75</v>
      </c>
      <c r="F29" s="6" t="n">
        <v>79814.37</v>
      </c>
      <c r="G29" s="6" t="n">
        <v>37414.37</v>
      </c>
      <c r="H29" s="6" t="n">
        <v>21215.72</v>
      </c>
      <c r="I29" s="6" t="n">
        <v>5303.93</v>
      </c>
      <c r="J29" s="6" t="n">
        <v>15911.79</v>
      </c>
      <c r="K29" s="6" t="n">
        <v>30063.88</v>
      </c>
      <c r="L29" s="6" t="n">
        <v>23865.68</v>
      </c>
    </row>
    <row r="30">
      <c r="A30" s="6" t="n">
        <v>4</v>
      </c>
      <c r="B30" s="6" t="inlineStr">
        <is>
          <t>35.0%</t>
        </is>
      </c>
      <c r="C30" s="6" t="n">
        <v>255.5</v>
      </c>
      <c r="D30" s="6" t="n">
        <v>295.8</v>
      </c>
      <c r="E30" s="6" t="n">
        <v>104374.3</v>
      </c>
      <c r="F30" s="6" t="n">
        <v>81410.64999999999</v>
      </c>
      <c r="G30" s="6" t="n">
        <v>38162.65</v>
      </c>
      <c r="H30" s="6" t="n">
        <v>21964</v>
      </c>
      <c r="I30" s="6" t="n">
        <v>5491</v>
      </c>
      <c r="J30" s="6" t="n">
        <v>16473</v>
      </c>
      <c r="K30" s="6" t="n">
        <v>30584.17</v>
      </c>
      <c r="L30" s="6" t="n">
        <v>22480.28</v>
      </c>
    </row>
    <row r="31">
      <c r="A31" s="6" t="n">
        <v>5</v>
      </c>
      <c r="B31" s="6" t="inlineStr">
        <is>
          <t>35.0%</t>
        </is>
      </c>
      <c r="C31" s="6" t="n">
        <v>255.5</v>
      </c>
      <c r="D31" s="6" t="n">
        <v>301.72</v>
      </c>
      <c r="E31" s="6" t="n">
        <v>106461.79</v>
      </c>
      <c r="F31" s="6" t="n">
        <v>83038.87</v>
      </c>
      <c r="G31" s="6" t="n">
        <v>38925.91</v>
      </c>
      <c r="H31" s="6" t="n">
        <v>22727.26</v>
      </c>
      <c r="I31" s="6" t="n">
        <v>5681.81</v>
      </c>
      <c r="J31" s="6" t="n">
        <v>17045.44</v>
      </c>
      <c r="K31" s="6" t="n">
        <v>31114.86</v>
      </c>
      <c r="L31" s="6" t="n">
        <v>21176.25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50"/>
  <sheetViews>
    <sheetView showGridLines="1" workbookViewId="0">
      <selection activeCell="A1" sqref="A1"/>
    </sheetView>
  </sheetViews>
  <sheetFormatPr baseColWidth="8" defaultRowHeight="15"/>
  <cols>
    <col width="42" customWidth="1" min="1" max="1"/>
    <col width="40" customWidth="1" min="2" max="2"/>
    <col width="26" customWidth="1" min="3" max="3"/>
    <col width="30" customWidth="1" min="4" max="4"/>
    <col width="26" customWidth="1" min="5" max="5"/>
    <col width="30" customWidth="1" min="6" max="6"/>
    <col width="26" customWidth="1" min="7" max="7"/>
    <col width="30" customWidth="1" min="8" max="8"/>
    <col width="21" customWidth="1" min="9" max="9"/>
    <col width="30" customWidth="1" min="10" max="10"/>
    <col width="30" customWidth="1" min="11" max="11"/>
    <col width="20" customWidth="1" min="12" max="12"/>
    <col width="14" customWidth="1" min="13" max="13"/>
    <col width="13" customWidth="1" min="14" max="14"/>
  </cols>
  <sheetData>
    <row r="1">
      <c r="A1" s="1" t="inlineStr">
        <is>
          <t>REFORM / RESIZE CASE - WHAT WOULD HAVE TO BE TRUE AFTER THE DECLINE?</t>
        </is>
      </c>
    </row>
    <row r="2" ht="42" customHeight="1">
      <c r="A2" s="12" t="inlineStr">
        <is>
          <t>A separate layer on top of the three as-is cases. It does not rewrite the management, INE market or promoter projections; it asks whether a revenue-led reform can create value. The answer is allowed to be no, and the conservative bank test is EV versus TOTAL project investment (CapEx + IDC + pre-opening + working capital + DSRA), not EV versus CapEx alone.</t>
        </is>
      </c>
    </row>
    <row r="3"/>
    <row r="4">
      <c r="A4" s="3" t="inlineStr">
        <is>
          <t>1. R1-R6 REFORM PRESETS (ALL SIX ARE SHOWN; NEGATIVE RESULTS ARE NOT HIDDEN)</t>
        </is>
      </c>
    </row>
    <row r="5">
      <c r="A5" s="47" t="inlineStr">
        <is>
          <t>Ref</t>
        </is>
      </c>
      <c r="B5" s="47" t="inlineStr">
        <is>
          <t>Reform case</t>
        </is>
      </c>
      <c r="C5" s="47" t="inlineStr">
        <is>
          <t>CapEx (EUR)</t>
        </is>
      </c>
      <c r="D5" s="47" t="inlineStr">
        <is>
          <t>Total investment (EUR)</t>
        </is>
      </c>
      <c r="E5" s="47" t="inlineStr">
        <is>
          <t>Revenue Y5 (EUR)</t>
        </is>
      </c>
      <c r="F5" s="47" t="inlineStr">
        <is>
          <t>EBITDA Y5 (EUR)</t>
        </is>
      </c>
      <c r="G5" s="47" t="inlineStr">
        <is>
          <t>Min DSCR</t>
        </is>
      </c>
      <c r="H5" s="47" t="inlineStr">
        <is>
          <t>EV @ exit cap (EUR)</t>
        </is>
      </c>
      <c r="I5" s="47" t="inlineStr">
        <is>
          <t>Gap vs CapEx (EUR)</t>
        </is>
      </c>
      <c r="J5" s="47" t="inlineStr">
        <is>
          <t>Gap vs total inv. (EUR)</t>
        </is>
      </c>
      <c r="K5" s="47" t="inlineStr">
        <is>
          <t>Net gap vs total inv. (EUR)</t>
        </is>
      </c>
      <c r="L5" s="47" t="inlineStr">
        <is>
          <t>Project NPV (EUR)</t>
        </is>
      </c>
      <c r="M5" s="47" t="inlineStr">
        <is>
          <t>Project IRR</t>
        </is>
      </c>
      <c r="N5" s="47" t="inlineStr">
        <is>
          <t>Equity IRR</t>
        </is>
      </c>
    </row>
    <row r="6">
      <c r="A6" s="6" t="inlineStr">
        <is>
          <t>CAPEX ONLY</t>
        </is>
      </c>
      <c r="B6" s="6" t="inlineStr">
        <is>
          <t>R1 Capital-only (900k)</t>
        </is>
      </c>
      <c r="C6" s="45" t="n">
        <v>901800</v>
      </c>
      <c r="D6" s="45" t="n">
        <v>986296.85</v>
      </c>
      <c r="E6" s="45" t="n">
        <v>171720</v>
      </c>
      <c r="F6" s="45" t="n">
        <v>37041.58</v>
      </c>
      <c r="G6" s="48" t="n">
        <v>1.34</v>
      </c>
      <c r="H6" s="45" t="n">
        <v>435783.29</v>
      </c>
      <c r="I6" s="45" t="n">
        <v>-466016.71</v>
      </c>
      <c r="J6" s="45" t="n">
        <v>-550513.5600000001</v>
      </c>
      <c r="K6" s="45" t="n">
        <v>-563587.0600000001</v>
      </c>
      <c r="L6" s="45" t="n">
        <v>-450358.56</v>
      </c>
      <c r="M6" s="7" t="n">
        <v>-0.07178</v>
      </c>
      <c r="N6" s="7" t="n">
        <v>-0.164716</v>
      </c>
    </row>
    <row r="7">
      <c r="A7" s="6" t="inlineStr">
        <is>
          <t>REVENUE REFORM</t>
        </is>
      </c>
      <c r="B7" s="6" t="inlineStr">
        <is>
          <t>R2 Revenue reform (1.05M)</t>
        </is>
      </c>
      <c r="C7" s="45" t="n">
        <v>1050100</v>
      </c>
      <c r="D7" s="45" t="n">
        <v>1138625.22</v>
      </c>
      <c r="E7" s="45" t="n">
        <v>253626</v>
      </c>
      <c r="F7" s="45" t="n">
        <v>71321.37</v>
      </c>
      <c r="G7" s="48" t="n">
        <v>2.13</v>
      </c>
      <c r="H7" s="45" t="n">
        <v>839074.9399999999</v>
      </c>
      <c r="I7" s="45" t="n">
        <v>-211025.06</v>
      </c>
      <c r="J7" s="45" t="n">
        <v>-299550.28</v>
      </c>
      <c r="K7" s="45" t="n">
        <v>-324722.53</v>
      </c>
      <c r="L7" s="45" t="n">
        <v>-220684.84</v>
      </c>
      <c r="M7" s="7" t="n">
        <v>0.025297</v>
      </c>
      <c r="N7" s="7" t="n">
        <v>0.019578</v>
      </c>
    </row>
    <row r="8">
      <c r="A8" s="6" t="inlineStr">
        <is>
          <t>VALUE ENGINEERED</t>
        </is>
      </c>
      <c r="B8" s="6" t="inlineStr">
        <is>
          <t>R3 Revenue + value engineering (900k)</t>
        </is>
      </c>
      <c r="C8" s="45" t="n">
        <v>901800</v>
      </c>
      <c r="D8" s="45" t="n">
        <v>986296.85</v>
      </c>
      <c r="E8" s="45" t="n">
        <v>253626</v>
      </c>
      <c r="F8" s="45" t="n">
        <v>71321.37</v>
      </c>
      <c r="G8" s="48" t="n">
        <v>2.44</v>
      </c>
      <c r="H8" s="45" t="n">
        <v>839074.9399999999</v>
      </c>
      <c r="I8" s="45" t="n">
        <v>-62725.06</v>
      </c>
      <c r="J8" s="45" t="n">
        <v>-147221.91</v>
      </c>
      <c r="K8" s="45" t="n">
        <v>-172394.16</v>
      </c>
      <c r="L8" s="45" t="n">
        <v>-96377.5</v>
      </c>
      <c r="M8" s="7" t="n">
        <v>0.053742</v>
      </c>
      <c r="N8" s="7" t="n">
        <v>0.06250600000000001</v>
      </c>
    </row>
    <row r="9">
      <c r="A9" s="6" t="inlineStr">
        <is>
          <t>AGGRESSIVE</t>
        </is>
      </c>
      <c r="B9" s="6" t="inlineStr">
        <is>
          <t>R4 Aggressive demand (1.05M)</t>
        </is>
      </c>
      <c r="C9" s="45" t="n">
        <v>1050100</v>
      </c>
      <c r="D9" s="45" t="n">
        <v>1138625.22</v>
      </c>
      <c r="E9" s="45" t="n">
        <v>282652</v>
      </c>
      <c r="F9" s="45" t="n">
        <v>92402.75999999999</v>
      </c>
      <c r="G9" s="48" t="n">
        <v>2.72</v>
      </c>
      <c r="H9" s="45" t="n">
        <v>1087091.29</v>
      </c>
      <c r="I9" s="45" t="n">
        <v>36991.29</v>
      </c>
      <c r="J9" s="45" t="n">
        <v>-51533.93</v>
      </c>
      <c r="K9" s="45" t="n">
        <v>-84146.67</v>
      </c>
      <c r="L9" s="45" t="n">
        <v>3721.66</v>
      </c>
      <c r="M9" s="7" t="n">
        <v>0.080844</v>
      </c>
      <c r="N9" s="7" t="n">
        <v>0.101638</v>
      </c>
    </row>
    <row r="10">
      <c r="A10" s="6" t="inlineStr">
        <is>
          <t>RESIZE 850</t>
        </is>
      </c>
      <c r="B10" s="6" t="inlineStr">
        <is>
          <t>R5 Lean scope (850k)</t>
        </is>
      </c>
      <c r="C10" s="45" t="n">
        <v>846300</v>
      </c>
      <c r="D10" s="45" t="n">
        <v>929289.3100000001</v>
      </c>
      <c r="E10" s="45" t="n">
        <v>253626</v>
      </c>
      <c r="F10" s="45" t="n">
        <v>71321.37</v>
      </c>
      <c r="G10" s="48" t="n">
        <v>2.57</v>
      </c>
      <c r="H10" s="45" t="n">
        <v>839074.9399999999</v>
      </c>
      <c r="I10" s="45" t="n">
        <v>-7225.06</v>
      </c>
      <c r="J10" s="45" t="n">
        <v>-90214.37</v>
      </c>
      <c r="K10" s="45" t="n">
        <v>-115386.62</v>
      </c>
      <c r="L10" s="45" t="n">
        <v>-49105.91</v>
      </c>
      <c r="M10" s="7" t="n">
        <v>0.066093</v>
      </c>
      <c r="N10" s="7" t="n">
        <v>0.080399</v>
      </c>
    </row>
    <row r="11">
      <c r="A11" s="6" t="inlineStr">
        <is>
          <t>DOWNSIDE</t>
        </is>
      </c>
      <c r="B11" s="6" t="inlineStr">
        <is>
          <t>R6 Downside / stress</t>
        </is>
      </c>
      <c r="C11" s="45" t="n">
        <v>965560</v>
      </c>
      <c r="D11" s="45" t="n">
        <v>1051789.19</v>
      </c>
      <c r="E11" s="45" t="n">
        <v>138035.1</v>
      </c>
      <c r="F11" s="45" t="n">
        <v>-33886.72</v>
      </c>
      <c r="G11" s="48" t="n">
        <v>-3.82</v>
      </c>
      <c r="H11" s="45" t="n">
        <v>0</v>
      </c>
      <c r="I11" s="45" t="n">
        <v>-965560</v>
      </c>
      <c r="J11" s="45" t="n">
        <v>-1051789.19</v>
      </c>
      <c r="K11" s="45" t="n">
        <v>-1051789.19</v>
      </c>
      <c r="L11" s="45" t="n">
        <v>-1021972.82</v>
      </c>
      <c r="M11" s="6" t="inlineStr">
        <is>
          <t>n/a</t>
        </is>
      </c>
      <c r="N11" s="6" t="inlineStr">
        <is>
          <t>n/a</t>
        </is>
      </c>
    </row>
    <row r="12"/>
    <row r="13"/>
    <row r="14">
      <c r="A14" s="3" t="inlineStr">
        <is>
          <t>2. R2 VALUE BRIDGE - MATURE EBITDA AND EV AT THE 8.5% EXIT CAP RATE</t>
        </is>
      </c>
    </row>
    <row r="15">
      <c r="A15" s="49" t="inlineStr">
        <is>
          <t>Bridge component</t>
        </is>
      </c>
      <c r="B15" s="49" t="inlineStr">
        <is>
          <t>EBITDA impact (EUR)</t>
        </is>
      </c>
      <c r="C15" s="49" t="inlineStr">
        <is>
          <t>EV impact @ 8.5% (EUR)</t>
        </is>
      </c>
    </row>
    <row r="16">
      <c r="A16" s="5" t="inlineStr">
        <is>
          <t>Base management EBITDA</t>
        </is>
      </c>
      <c r="B16" s="50" t="n">
        <v>37041.58</v>
      </c>
      <c r="C16" s="50" t="n">
        <v>435783.29</v>
      </c>
    </row>
    <row r="17">
      <c r="A17" s="6" t="inlineStr">
        <is>
          <t>+ ADR uplift (5%)</t>
        </is>
      </c>
      <c r="B17" s="45" t="n">
        <v>7182.19</v>
      </c>
      <c r="C17" s="45" t="n">
        <v>84496.35000000001</v>
      </c>
    </row>
    <row r="18">
      <c r="A18" s="6" t="inlineStr">
        <is>
          <t>+ External F&amp;B (6 covers/day)</t>
        </is>
      </c>
      <c r="B18" s="45" t="n">
        <v>13697.6</v>
      </c>
      <c r="C18" s="45" t="n">
        <v>161148.24</v>
      </c>
    </row>
    <row r="19">
      <c r="A19" s="6" t="inlineStr">
        <is>
          <t>+ Experiences</t>
        </is>
      </c>
      <c r="B19" s="45" t="n">
        <v>8400</v>
      </c>
      <c r="C19" s="45" t="n">
        <v>98823.53</v>
      </c>
    </row>
    <row r="20">
      <c r="A20" s="6" t="inlineStr">
        <is>
          <t>+ Cost savings</t>
        </is>
      </c>
      <c r="B20" s="45" t="n">
        <v>5000</v>
      </c>
      <c r="C20" s="45" t="n">
        <v>58823.53</v>
      </c>
    </row>
    <row r="21">
      <c r="A21" s="5" t="inlineStr">
        <is>
          <t>Reform EBITDA and EV</t>
        </is>
      </c>
      <c r="B21" s="50" t="n">
        <v>71321.37</v>
      </c>
      <c r="C21" s="50" t="n">
        <v>839074.9399999999</v>
      </c>
    </row>
    <row r="22"/>
    <row r="23">
      <c r="A23" s="51" t="inlineStr">
        <is>
          <t>Value test</t>
        </is>
      </c>
      <c r="B23" s="51" t="inlineStr">
        <is>
          <t>Gross (EUR)</t>
        </is>
      </c>
      <c r="C23" s="51" t="inlineStr">
        <is>
          <t>Net of exit costs (EUR)</t>
        </is>
      </c>
    </row>
    <row r="24">
      <c r="A24" s="6" t="inlineStr">
        <is>
          <t>Enterprise value</t>
        </is>
      </c>
      <c r="B24" s="50" t="n">
        <v>839074.9399999999</v>
      </c>
      <c r="C24" s="50" t="n">
        <v>813902.6899999999</v>
      </c>
    </row>
    <row r="25">
      <c r="A25" s="6" t="inlineStr">
        <is>
          <t>Exit costs</t>
        </is>
      </c>
      <c r="B25" s="50" t="n">
        <v>0</v>
      </c>
      <c r="C25" s="50" t="n">
        <v>-25172.25</v>
      </c>
    </row>
    <row r="26">
      <c r="A26" s="6" t="inlineStr">
        <is>
          <t>Reform CapEx</t>
        </is>
      </c>
      <c r="B26" s="50" t="n">
        <v>1050100</v>
      </c>
      <c r="C26" s="50" t="n">
        <v>1050100</v>
      </c>
    </row>
    <row r="27">
      <c r="A27" s="5" t="inlineStr">
        <is>
          <t>Value gap vs CapEx</t>
        </is>
      </c>
      <c r="B27" s="50" t="n">
        <v>-211025.06</v>
      </c>
      <c r="C27" s="50" t="n">
        <v>-236197.31</v>
      </c>
    </row>
    <row r="28">
      <c r="A28" s="6" t="inlineStr">
        <is>
          <t>Total project investment</t>
        </is>
      </c>
      <c r="B28" s="50" t="n">
        <v>1138625.22</v>
      </c>
      <c r="C28" s="50" t="n">
        <v>1138625.22</v>
      </c>
    </row>
    <row r="29">
      <c r="A29" s="5" t="inlineStr">
        <is>
          <t>Value gap vs total investment</t>
        </is>
      </c>
      <c r="B29" s="50" t="n">
        <v>-299550.28</v>
      </c>
      <c r="C29" s="50" t="n">
        <v>-324722.53</v>
      </c>
    </row>
    <row r="30">
      <c r="A30" s="5" t="inlineStr">
        <is>
          <t>Bridge tie (must be zero)</t>
        </is>
      </c>
      <c r="B30" s="50" t="n">
        <v>0</v>
      </c>
      <c r="C30" s="50" t="n">
        <v>0</v>
      </c>
    </row>
    <row r="31"/>
    <row r="32"/>
    <row r="33">
      <c r="A33" s="3" t="inlineStr">
        <is>
          <t>3. VALUE FRONTIER - EV MINUS TOTAL INVESTMENT (EUR), BY CAPEX AND EXTERNAL COVERS</t>
        </is>
      </c>
    </row>
    <row r="34">
      <c r="A34" s="40" t="inlineStr">
        <is>
          <t>CapEx (EUR) \ Covers/day</t>
        </is>
      </c>
      <c r="B34" s="52" t="n">
        <v>0</v>
      </c>
      <c r="C34" s="52" t="n">
        <v>3</v>
      </c>
      <c r="D34" s="52" t="n">
        <v>6</v>
      </c>
      <c r="E34" s="52" t="n">
        <v>8</v>
      </c>
      <c r="F34" s="52" t="n">
        <v>10</v>
      </c>
    </row>
    <row r="35">
      <c r="A35" s="50" t="n">
        <v>1050100</v>
      </c>
      <c r="B35" s="53" t="n">
        <v>-460698.51</v>
      </c>
      <c r="C35" s="53" t="n">
        <v>-544830.28</v>
      </c>
      <c r="D35" s="53" t="n">
        <v>-299550.28</v>
      </c>
      <c r="E35" s="53" t="n">
        <v>-245834.16</v>
      </c>
      <c r="F35" s="53" t="n">
        <v>-192118.16</v>
      </c>
    </row>
    <row r="36">
      <c r="A36" s="50" t="n">
        <v>950000</v>
      </c>
      <c r="B36" s="53" t="n">
        <v>-357879.98</v>
      </c>
      <c r="C36" s="53" t="n">
        <v>-442011.75</v>
      </c>
      <c r="D36" s="53" t="n">
        <v>-196731.75</v>
      </c>
      <c r="E36" s="53" t="n">
        <v>-143015.63</v>
      </c>
      <c r="F36" s="53" t="n">
        <v>-89299.63</v>
      </c>
    </row>
    <row r="37">
      <c r="A37" s="50" t="n">
        <v>850000</v>
      </c>
      <c r="B37" s="53" t="n">
        <v>-255162.93</v>
      </c>
      <c r="C37" s="53" t="n">
        <v>-339294.7</v>
      </c>
      <c r="D37" s="53" t="n">
        <v>-94014.7</v>
      </c>
      <c r="E37" s="53" t="n">
        <v>-40298.58</v>
      </c>
      <c r="F37" s="54" t="n">
        <v>13417.42</v>
      </c>
    </row>
    <row r="38">
      <c r="A38" s="50" t="n">
        <v>770000</v>
      </c>
      <c r="B38" s="53" t="n">
        <v>-172989.81</v>
      </c>
      <c r="C38" s="53" t="n">
        <v>-257121.58</v>
      </c>
      <c r="D38" s="53" t="n">
        <v>-11841.58</v>
      </c>
      <c r="E38" s="54" t="n">
        <v>41874.54</v>
      </c>
      <c r="F38" s="54" t="n">
        <v>95590.53999999999</v>
      </c>
    </row>
    <row r="39">
      <c r="A39" s="50" t="n">
        <v>700000</v>
      </c>
      <c r="B39" s="53" t="n">
        <v>-101088.63</v>
      </c>
      <c r="C39" s="53" t="n">
        <v>-185220.4</v>
      </c>
      <c r="D39" s="54" t="n">
        <v>60059.6</v>
      </c>
      <c r="E39" s="54" t="n">
        <v>113775.72</v>
      </c>
      <c r="F39" s="54" t="n">
        <v>167491.72</v>
      </c>
    </row>
    <row r="40"/>
    <row r="41"/>
    <row r="42">
      <c r="A42" s="3" t="inlineStr">
        <is>
          <t>4. STRESS TESTS - THE REFORM UNDER DEMAND, COST, RATE AND GRANT DELAYS</t>
        </is>
      </c>
    </row>
    <row r="43">
      <c r="A43" s="51" t="inlineStr">
        <is>
          <t>Stress case</t>
        </is>
      </c>
      <c r="B43" s="51" t="inlineStr">
        <is>
          <t>CapEx (EUR)</t>
        </is>
      </c>
      <c r="C43" s="51" t="inlineStr">
        <is>
          <t>Total inv. (EUR)</t>
        </is>
      </c>
      <c r="D43" s="51" t="inlineStr">
        <is>
          <t>EBITDA Y5 (EUR)</t>
        </is>
      </c>
      <c r="E43" s="51" t="inlineStr">
        <is>
          <t>Min DSCR</t>
        </is>
      </c>
      <c r="F43" s="51" t="inlineStr">
        <is>
          <t>EV (EUR)</t>
        </is>
      </c>
      <c r="G43" s="51" t="inlineStr">
        <is>
          <t>Gap vs total inv. (EUR)</t>
        </is>
      </c>
      <c r="H43" s="51" t="inlineStr">
        <is>
          <t>Net gap vs total inv. (EUR)</t>
        </is>
      </c>
      <c r="I43" s="51" t="inlineStr">
        <is>
          <t>Project NPV (EUR)</t>
        </is>
      </c>
      <c r="J43" s="51" t="inlineStr">
        <is>
          <t>Project IRR</t>
        </is>
      </c>
      <c r="K43" s="51" t="inlineStr">
        <is>
          <t>Equity IRR</t>
        </is>
      </c>
    </row>
    <row r="44">
      <c r="A44" s="6" t="inlineStr">
        <is>
          <t>As-is reform (R2)</t>
        </is>
      </c>
      <c r="B44" s="45" t="n">
        <v>1050100</v>
      </c>
      <c r="C44" s="45" t="n">
        <v>1138625.22</v>
      </c>
      <c r="D44" s="45" t="n">
        <v>71321.37</v>
      </c>
      <c r="E44" s="48" t="n">
        <v>2.13</v>
      </c>
      <c r="F44" s="45" t="n">
        <v>839074.9399999999</v>
      </c>
      <c r="G44" s="45" t="n">
        <v>-299550.28</v>
      </c>
      <c r="H44" s="45" t="n">
        <v>-324722.53</v>
      </c>
      <c r="I44" s="45" t="n">
        <v>-220684.84</v>
      </c>
      <c r="J44" s="7" t="n">
        <v>0.025297</v>
      </c>
      <c r="K44" s="7" t="n">
        <v>0.019578</v>
      </c>
    </row>
    <row r="45">
      <c r="A45" s="6" t="inlineStr">
        <is>
          <t>R2 + INE 21.24% demand</t>
        </is>
      </c>
      <c r="B45" s="45" t="n">
        <v>1050100</v>
      </c>
      <c r="C45" s="45" t="n">
        <v>1138625.22</v>
      </c>
      <c r="D45" s="45" t="n">
        <v>27821.26</v>
      </c>
      <c r="E45" s="48" t="n">
        <v>-0.08</v>
      </c>
      <c r="F45" s="45" t="n">
        <v>327308.94</v>
      </c>
      <c r="G45" s="45" t="n">
        <v>-811316.28</v>
      </c>
      <c r="H45" s="45" t="n">
        <v>-821135.55</v>
      </c>
      <c r="I45" s="45" t="n">
        <v>-689417.96</v>
      </c>
      <c r="J45" s="7" t="n">
        <v>-0.14632</v>
      </c>
      <c r="K45" s="7" t="n">
        <v>-0.512092</v>
      </c>
    </row>
    <row r="46">
      <c r="A46" s="6" t="inlineStr">
        <is>
          <t>R2 + covers -50%</t>
        </is>
      </c>
      <c r="B46" s="45" t="n">
        <v>1050100</v>
      </c>
      <c r="C46" s="45" t="n">
        <v>1138625.22</v>
      </c>
      <c r="D46" s="45" t="n">
        <v>50472.57</v>
      </c>
      <c r="E46" s="48" t="n">
        <v>1.48</v>
      </c>
      <c r="F46" s="45" t="n">
        <v>593794.9399999999</v>
      </c>
      <c r="G46" s="45" t="n">
        <v>-544830.28</v>
      </c>
      <c r="H46" s="45" t="n">
        <v>-562644.13</v>
      </c>
      <c r="I46" s="45" t="n">
        <v>-441028.47</v>
      </c>
      <c r="J46" s="7" t="n">
        <v>-0.042221</v>
      </c>
      <c r="K46" s="7" t="n">
        <v>-0.102545</v>
      </c>
    </row>
    <row r="47">
      <c r="A47" s="6" t="inlineStr">
        <is>
          <t>R3 + CapEx +20%</t>
        </is>
      </c>
      <c r="B47" s="45" t="n">
        <v>1032160</v>
      </c>
      <c r="C47" s="45" t="n">
        <v>1120197.9</v>
      </c>
      <c r="D47" s="45" t="n">
        <v>71321.37</v>
      </c>
      <c r="E47" s="48" t="n">
        <v>2.17</v>
      </c>
      <c r="F47" s="45" t="n">
        <v>839074.9399999999</v>
      </c>
      <c r="G47" s="45" t="n">
        <v>-281122.96</v>
      </c>
      <c r="H47" s="45" t="n">
        <v>-306295.21</v>
      </c>
      <c r="I47" s="45" t="n">
        <v>-206843.7</v>
      </c>
      <c r="J47" s="7" t="n">
        <v>0.028168</v>
      </c>
      <c r="K47" s="7" t="n">
        <v>0.024049</v>
      </c>
    </row>
    <row r="48">
      <c r="A48" s="6" t="inlineStr">
        <is>
          <t>R3 + LEADER delayed to Y3</t>
        </is>
      </c>
      <c r="B48" s="45" t="n">
        <v>901800</v>
      </c>
      <c r="C48" s="45" t="n">
        <v>986296.85</v>
      </c>
      <c r="D48" s="45" t="n">
        <v>71321.37</v>
      </c>
      <c r="E48" s="48" t="n">
        <v>2.44</v>
      </c>
      <c r="F48" s="45" t="n">
        <v>839074.9399999999</v>
      </c>
      <c r="G48" s="45" t="n">
        <v>-147221.91</v>
      </c>
      <c r="H48" s="45" t="n">
        <v>-172394.16</v>
      </c>
      <c r="I48" s="45" t="n">
        <v>-105254.39</v>
      </c>
      <c r="J48" s="7" t="n">
        <v>0.052156</v>
      </c>
      <c r="K48" s="7" t="n">
        <v>0.059813</v>
      </c>
    </row>
    <row r="49">
      <c r="A49" s="6" t="inlineStr">
        <is>
          <t>R3 + no LEADER grant</t>
        </is>
      </c>
      <c r="B49" s="45" t="n">
        <v>901800</v>
      </c>
      <c r="C49" s="45" t="n">
        <v>986296.85</v>
      </c>
      <c r="D49" s="45" t="n">
        <v>71321.37</v>
      </c>
      <c r="E49" s="48" t="n">
        <v>2.44</v>
      </c>
      <c r="F49" s="45" t="n">
        <v>839074.9399999999</v>
      </c>
      <c r="G49" s="45" t="n">
        <v>-147221.91</v>
      </c>
      <c r="H49" s="45" t="n">
        <v>-172394.16</v>
      </c>
      <c r="I49" s="45" t="n">
        <v>-216215.47</v>
      </c>
      <c r="J49" s="7" t="n">
        <v>0.022505</v>
      </c>
      <c r="K49" s="7" t="n">
        <v>0.016396</v>
      </c>
    </row>
    <row r="50">
      <c r="A50" s="6" t="inlineStr">
        <is>
          <t>R3 + rate +200 bp</t>
        </is>
      </c>
      <c r="B50" s="45" t="n">
        <v>901800</v>
      </c>
      <c r="C50" s="45" t="n">
        <v>988365</v>
      </c>
      <c r="D50" s="45" t="n">
        <v>71321.37</v>
      </c>
      <c r="E50" s="48" t="n">
        <v>1.92</v>
      </c>
      <c r="F50" s="45" t="n">
        <v>839074.9399999999</v>
      </c>
      <c r="G50" s="45" t="n">
        <v>-149290.06</v>
      </c>
      <c r="H50" s="45" t="n">
        <v>-174462.31</v>
      </c>
      <c r="I50" s="45" t="n">
        <v>-98445.64999999999</v>
      </c>
      <c r="J50" s="7" t="n">
        <v>0.053216</v>
      </c>
      <c r="K50" s="7" t="n">
        <v>0.054386</v>
      </c>
    </row>
    <row r="51">
      <c r="A51" s="6" t="inlineStr">
        <is>
          <t>R3 + conservative demand</t>
        </is>
      </c>
      <c r="B51" s="45" t="n">
        <v>901800</v>
      </c>
      <c r="C51" s="45" t="n">
        <v>987831.24</v>
      </c>
      <c r="D51" s="45" t="n">
        <v>33333.95</v>
      </c>
      <c r="E51" s="48" t="n">
        <v>0.12</v>
      </c>
      <c r="F51" s="45" t="n">
        <v>392164.12</v>
      </c>
      <c r="G51" s="45" t="n">
        <v>-595667.12</v>
      </c>
      <c r="H51" s="45" t="n">
        <v>-607432.04</v>
      </c>
      <c r="I51" s="45" t="n">
        <v>-509916.1</v>
      </c>
      <c r="J51" s="7" t="n">
        <v>-0.096315</v>
      </c>
      <c r="K51" s="7" t="n">
        <v>-0.245461</v>
      </c>
    </row>
    <row r="52">
      <c r="A52" s="6" t="inlineStr">
        <is>
          <t>R6 combined downside</t>
        </is>
      </c>
      <c r="B52" s="45" t="n">
        <v>965560</v>
      </c>
      <c r="C52" s="45" t="n">
        <v>1051789.19</v>
      </c>
      <c r="D52" s="45" t="n">
        <v>-33886.72</v>
      </c>
      <c r="E52" s="48" t="n">
        <v>-3.82</v>
      </c>
      <c r="F52" s="45" t="n">
        <v>0</v>
      </c>
      <c r="G52" s="45" t="n">
        <v>-1051789.19</v>
      </c>
      <c r="H52" s="45" t="n">
        <v>-1051789.19</v>
      </c>
      <c r="I52" s="45" t="n">
        <v>-1021972.82</v>
      </c>
      <c r="J52" s="6" t="inlineStr">
        <is>
          <t>n/a</t>
        </is>
      </c>
      <c r="K52" s="6" t="inlineStr">
        <is>
          <t>n/a</t>
        </is>
      </c>
    </row>
    <row r="53"/>
    <row r="54"/>
    <row r="55">
      <c r="A55" s="3" t="inlineStr">
        <is>
          <t>5. RATE SENSITIVITY - R2 REFORM AT +0 / +100 / +200 / +300 BP</t>
        </is>
      </c>
    </row>
    <row r="56">
      <c r="A56" s="51" t="inlineStr">
        <is>
          <t>Rate shock (bp)</t>
        </is>
      </c>
      <c r="B56" s="51" t="inlineStr">
        <is>
          <t>Interest rate</t>
        </is>
      </c>
      <c r="C56" s="51" t="inlineStr">
        <is>
          <t>Min DSCR</t>
        </is>
      </c>
      <c r="D56" s="51" t="inlineStr">
        <is>
          <t>Project NPV (EUR)</t>
        </is>
      </c>
      <c r="E56" s="51" t="inlineStr">
        <is>
          <t>Gap vs total inv. (EUR)</t>
        </is>
      </c>
      <c r="F56" s="51" t="inlineStr">
        <is>
          <t>Net gap vs total inv. (EUR)</t>
        </is>
      </c>
    </row>
    <row r="57">
      <c r="A57" s="55" t="n">
        <v>0</v>
      </c>
      <c r="B57" s="7" t="n">
        <v>0.04</v>
      </c>
      <c r="C57" s="48" t="n">
        <v>2.13</v>
      </c>
      <c r="D57" s="45" t="n">
        <v>-220684.84</v>
      </c>
      <c r="E57" s="45" t="n">
        <v>-299550.28</v>
      </c>
      <c r="F57" s="45" t="n">
        <v>-324722.53</v>
      </c>
    </row>
    <row r="58">
      <c r="A58" s="55" t="n">
        <v>100</v>
      </c>
      <c r="B58" s="7" t="n">
        <v>0.05</v>
      </c>
      <c r="C58" s="48" t="n">
        <v>1.96</v>
      </c>
      <c r="D58" s="45" t="n">
        <v>-221862.58</v>
      </c>
      <c r="E58" s="45" t="n">
        <v>-300728.02</v>
      </c>
      <c r="F58" s="45" t="n">
        <v>-325900.27</v>
      </c>
    </row>
    <row r="59">
      <c r="A59" s="55" t="n">
        <v>200</v>
      </c>
      <c r="B59" s="7" t="n">
        <v>0.06</v>
      </c>
      <c r="C59" s="48" t="n">
        <v>1.65</v>
      </c>
      <c r="D59" s="45" t="n">
        <v>-223093.77</v>
      </c>
      <c r="E59" s="45" t="n">
        <v>-301959.21</v>
      </c>
      <c r="F59" s="45" t="n">
        <v>-327131.46</v>
      </c>
    </row>
    <row r="60">
      <c r="A60" s="55" t="n">
        <v>300</v>
      </c>
      <c r="B60" s="7" t="n">
        <v>0.07000000000000001</v>
      </c>
      <c r="C60" s="48" t="n">
        <v>1.41</v>
      </c>
      <c r="D60" s="45" t="n">
        <v>-224375.73</v>
      </c>
      <c r="E60" s="45" t="n">
        <v>-303241.17</v>
      </c>
      <c r="F60" s="45" t="n">
        <v>-328413.42</v>
      </c>
    </row>
    <row r="61"/>
    <row r="62"/>
    <row r="63">
      <c r="A63" s="3" t="inlineStr">
        <is>
          <t>6. REFORM RECOMMENDATION</t>
        </is>
      </c>
    </row>
    <row r="64">
      <c r="A64" s="56" t="inlineStr">
        <is>
          <t>DECLINE AS STRUCTURED - ONLY THE AGGRESSIVE, UNPROVEN DEMAND CASE CLEARS THE WACC</t>
        </is>
      </c>
    </row>
    <row r="65" ht="46" customHeight="1">
      <c r="A65" s="11" t="inlineStr">
        <is>
          <t>The realistic revenue reform (R2: six external covers/day, +5% ADR, one FTE) produces EUR 71,321 of mature EBITDA and EUR 839,075 of asset value. Against the EUR 1,050,100 CapEx that is a gap of EUR -211,025; against total project investment of EUR 1,138,625 the gap is EUR -299,550. After 3.0% exit costs the net gap is EUR -324,723. R2 still has a project NPV of EUR -220,685 and a project IRR of 2.53%.</t>
        </is>
      </c>
    </row>
    <row r="66" ht="56" customHeight="1">
      <c r="A66" s="11" t="inlineStr">
        <is>
          <t>The 900k value-engineered case (R3) improves the NPV to EUR -96,378 and the IRR to 5.37%, but still does not clear an 8% WACC. The 850k lean case (R5) reaches EUR -49,106 of NPV and 6.61% IRR, still below the hurdle. The only positive-NPV case is R4 (eight covers/day, +10% ADR, one FTE) at EUR 3,722 of NPV and 8.08% IRR - a negligible margin and a total-investment value gap of EUR -51,534. After 3.0% exit costs the net gap is EUR -84,147, so even the boundary case fails the net test. The combined downside (R6) is deeply negative: EBITDA EUR -33,887, NPV EUR -1,021,973. The value frontier does show a positive corner at roughly EUR 700k of CapEx (land included) with six or more covers, but that is EUR 450k of non-land spend for an eight-room refurbishment: a scope-reduction thesis, not the current 1.05M budget.</t>
        </is>
      </c>
    </row>
    <row r="67"/>
    <row r="68">
      <c r="A68" s="3" t="inlineStr">
        <is>
          <t>Conditions attached to any further work</t>
        </is>
      </c>
    </row>
    <row r="69" ht="28" customHeight="1">
      <c r="A69" s="11" t="inlineStr">
        <is>
          <t>- Do not treat the 1.05M eight-room project as the base case for a reform.</t>
        </is>
      </c>
    </row>
    <row r="70" ht="28" customHeight="1">
      <c r="A70" s="11" t="inlineStr">
        <is>
          <t>- Prove external F&amp;B demand before committing construction capital: a low-cost Phase 0 pop-up/restaurant test, not a full refurbishment.</t>
        </is>
      </c>
    </row>
    <row r="71" ht="28" customHeight="1">
      <c r="A71" s="11" t="inlineStr">
        <is>
          <t>- If the family wants to proceed, cap the initial capital at the lean scope and keep the second phase behind a demand gate.</t>
        </is>
      </c>
    </row>
    <row r="72" ht="28" customHeight="1">
      <c r="A72" s="11" t="inlineStr">
        <is>
          <t>- Treat the ~700k frontier corner as a different, smaller project: it only works by cutting the non-land budget to about 450k, which is not the eight-room refurbishment currently specified.</t>
        </is>
      </c>
    </row>
    <row r="73" ht="28" customHeight="1">
      <c r="A73" s="11" t="inlineStr">
        <is>
          <t>- Charge the land at its opportunity value; do not describe the project as viable only because the site is already owned.</t>
        </is>
      </c>
    </row>
    <row r="74" ht="28" customHeight="1">
      <c r="A74" s="11" t="inlineStr">
        <is>
          <t>- Price the exit net of selling costs. The gross cap-rate value flatters every case; the boundary case fails once 3% exit costs are deducted.</t>
        </is>
      </c>
    </row>
    <row r="75" ht="28" customHeight="1">
      <c r="A75" s="11" t="inlineStr">
        <is>
          <t>- Re-run the model with 1.25-1.5 FTE for the external covers, not one FTE, and with INE 21.24% occupancy in the downside.</t>
        </is>
      </c>
    </row>
    <row r="76">
      <c r="A76" s="3" t="inlineStr">
        <is>
          <t>7. R7 PREMIUM CABINS - A DIFFERENT PRODUCT, SAME 9.5% CAP-RATE HURDLE</t>
        </is>
      </c>
    </row>
    <row r="77" ht="42" customHeight="1">
      <c r="A77" s="12" t="inlineStr">
        <is>
          <t>R7 replaces the eight-room hotel with six two-bedroom cabins plus the main house. The base case is deliberately the good edge of the band: 6 cabins at 110k all-in, 200 EUR ADR, 50% stabilised occupancy, ten external covers and 45k of experiences. At 120k per cabin the same demand fails the bank-facing net total-investment test.</t>
        </is>
      </c>
    </row>
    <row r="78"/>
    <row r="79">
      <c r="A79" s="47" t="inlineStr">
        <is>
          <t>Ref</t>
        </is>
      </c>
      <c r="B79" s="47" t="inlineStr">
        <is>
          <t>Cabins</t>
        </is>
      </c>
      <c r="C79" s="47" t="inlineStr">
        <is>
          <t>ADR (EUR)</t>
        </is>
      </c>
      <c r="D79" s="47" t="inlineStr">
        <is>
          <t>Occupancy</t>
        </is>
      </c>
      <c r="E79" s="47" t="inlineStr">
        <is>
          <t>Cost / cabin (EUR)</t>
        </is>
      </c>
      <c r="F79" s="47" t="inlineStr">
        <is>
          <t>CapEx (EUR)</t>
        </is>
      </c>
      <c r="G79" s="47" t="inlineStr">
        <is>
          <t>Total inv. (EUR)</t>
        </is>
      </c>
      <c r="H79" s="47" t="inlineStr">
        <is>
          <t>EBITDA Y5 (EUR)</t>
        </is>
      </c>
      <c r="I79" s="47" t="inlineStr">
        <is>
          <t>Min DSCR</t>
        </is>
      </c>
      <c r="J79" s="47" t="inlineStr">
        <is>
          <t>Net gap vs total inv. (EUR)</t>
        </is>
      </c>
      <c r="K79" s="47" t="inlineStr">
        <is>
          <t>Project NPV (EUR)</t>
        </is>
      </c>
      <c r="L79" s="47" t="inlineStr">
        <is>
          <t>Project IRR</t>
        </is>
      </c>
    </row>
    <row r="80">
      <c r="A80" s="6" t="inlineStr">
        <is>
          <t>CABINS BASE</t>
        </is>
      </c>
      <c r="B80" s="6" t="n">
        <v>6</v>
      </c>
      <c r="C80" s="45" t="n">
        <v>200</v>
      </c>
      <c r="D80" s="57" t="n">
        <v>0.5</v>
      </c>
      <c r="E80" s="45" t="n">
        <v>110000</v>
      </c>
      <c r="F80" s="45" t="n">
        <v>1441600</v>
      </c>
      <c r="G80" s="45" t="n">
        <v>1540760.04</v>
      </c>
      <c r="H80" s="45" t="n">
        <v>155712.5</v>
      </c>
      <c r="I80" s="48" t="n">
        <v>1.41</v>
      </c>
      <c r="J80" s="45" t="n">
        <v>49146.54</v>
      </c>
      <c r="K80" s="45" t="n">
        <v>76416.24000000001</v>
      </c>
      <c r="L80" s="7" t="n">
        <v>0.092088</v>
      </c>
    </row>
    <row r="81">
      <c r="A81" s="6" t="inlineStr">
        <is>
          <t>CABINS STRETCH</t>
        </is>
      </c>
      <c r="B81" s="6" t="n">
        <v>6</v>
      </c>
      <c r="C81" s="45" t="n">
        <v>230</v>
      </c>
      <c r="D81" s="57" t="n">
        <v>0.55</v>
      </c>
      <c r="E81" s="45" t="n">
        <v>150000</v>
      </c>
      <c r="F81" s="45" t="n">
        <v>1708000</v>
      </c>
      <c r="G81" s="45" t="n">
        <v>1814396.63</v>
      </c>
      <c r="H81" s="45" t="n">
        <v>227340.1</v>
      </c>
      <c r="I81" s="48" t="n">
        <v>3.3</v>
      </c>
      <c r="J81" s="45" t="n">
        <v>506865.44</v>
      </c>
      <c r="K81" s="45" t="n">
        <v>509113.02</v>
      </c>
      <c r="L81" s="7" t="n">
        <v>0.143285</v>
      </c>
    </row>
    <row r="82">
      <c r="A82" s="6" t="inlineStr">
        <is>
          <t>CABINS DOWNSIDE</t>
        </is>
      </c>
      <c r="B82" s="6" t="n">
        <v>5</v>
      </c>
      <c r="C82" s="45" t="n">
        <v>190</v>
      </c>
      <c r="D82" s="57" t="n">
        <v>0.45</v>
      </c>
      <c r="E82" s="45" t="n">
        <v>150000</v>
      </c>
      <c r="F82" s="45" t="n">
        <v>1541500</v>
      </c>
      <c r="G82" s="45" t="n">
        <v>1643374.02</v>
      </c>
      <c r="H82" s="45" t="n">
        <v>71597.62</v>
      </c>
      <c r="I82" s="48" t="n">
        <v>0.79</v>
      </c>
      <c r="J82" s="45" t="n">
        <v>-988767.2</v>
      </c>
      <c r="K82" s="45" t="n">
        <v>-878138.01</v>
      </c>
      <c r="L82" s="7" t="n">
        <v>-0.092334</v>
      </c>
    </row>
    <row r="83"/>
    <row r="84"/>
    <row r="85">
      <c r="A85" s="3" t="inlineStr">
        <is>
          <t>8. R7 COST CORRIDOR - SIX CABINS, 200 EUR ADR, 50% OCCUPANCY (PASS = NET TOTAL-INVESTMENT TEST)</t>
        </is>
      </c>
    </row>
    <row r="86">
      <c r="A86" s="47" t="inlineStr">
        <is>
          <t>Cost / cabin (EUR)</t>
        </is>
      </c>
      <c r="B86" s="47" t="inlineStr">
        <is>
          <t>CapEx (EUR)</t>
        </is>
      </c>
      <c r="C86" s="47" t="inlineStr">
        <is>
          <t>Total inv. (EUR)</t>
        </is>
      </c>
      <c r="D86" s="47" t="inlineStr">
        <is>
          <t>EBITDA Y5 (EUR)</t>
        </is>
      </c>
      <c r="E86" s="47" t="inlineStr">
        <is>
          <t>EV (EUR)</t>
        </is>
      </c>
      <c r="F86" s="47" t="inlineStr">
        <is>
          <t>Gap vs CapEx (EUR)</t>
        </is>
      </c>
      <c r="G86" s="47" t="inlineStr">
        <is>
          <t>Gap vs total inv. (EUR)</t>
        </is>
      </c>
      <c r="H86" s="47" t="inlineStr">
        <is>
          <t>Net gap vs total inv. (EUR)</t>
        </is>
      </c>
      <c r="I86" s="47" t="inlineStr">
        <is>
          <t>Min DSCR</t>
        </is>
      </c>
      <c r="J86" s="47" t="inlineStr">
        <is>
          <t>Project NPV (EUR)</t>
        </is>
      </c>
    </row>
    <row r="87">
      <c r="A87" s="50" t="n">
        <v>110000</v>
      </c>
      <c r="B87" s="45" t="n">
        <v>1441600</v>
      </c>
      <c r="C87" s="45" t="n">
        <v>1540760.04</v>
      </c>
      <c r="D87" s="45" t="n">
        <v>155712.5</v>
      </c>
      <c r="E87" s="45" t="n">
        <v>1639078.95</v>
      </c>
      <c r="F87" s="45" t="n">
        <v>197478.95</v>
      </c>
      <c r="G87" s="45" t="n">
        <v>98318.91</v>
      </c>
      <c r="H87" s="54" t="n">
        <v>49146.54</v>
      </c>
      <c r="I87" s="48" t="n">
        <v>1.41</v>
      </c>
      <c r="J87" s="45" t="n">
        <v>76416.24000000001</v>
      </c>
    </row>
    <row r="88">
      <c r="A88" s="50" t="n">
        <v>120000</v>
      </c>
      <c r="B88" s="45" t="n">
        <v>1508200</v>
      </c>
      <c r="C88" s="45" t="n">
        <v>1609169.17</v>
      </c>
      <c r="D88" s="45" t="n">
        <v>155712.5</v>
      </c>
      <c r="E88" s="45" t="n">
        <v>1639078.95</v>
      </c>
      <c r="F88" s="45" t="n">
        <v>130878.95</v>
      </c>
      <c r="G88" s="45" t="n">
        <v>29909.78</v>
      </c>
      <c r="H88" s="53" t="n">
        <v>-19262.59</v>
      </c>
      <c r="I88" s="48" t="n">
        <v>1.35</v>
      </c>
      <c r="J88" s="45" t="n">
        <v>10001.46</v>
      </c>
    </row>
    <row r="89">
      <c r="A89" s="50" t="n">
        <v>130000</v>
      </c>
      <c r="B89" s="45" t="n">
        <v>1574800</v>
      </c>
      <c r="C89" s="45" t="n">
        <v>1677578.94</v>
      </c>
      <c r="D89" s="45" t="n">
        <v>155712.5</v>
      </c>
      <c r="E89" s="45" t="n">
        <v>1639078.95</v>
      </c>
      <c r="F89" s="45" t="n">
        <v>64278.95</v>
      </c>
      <c r="G89" s="45" t="n">
        <v>-38499.99</v>
      </c>
      <c r="H89" s="53" t="n">
        <v>-87672.36</v>
      </c>
      <c r="I89" s="48" t="n">
        <v>1.29</v>
      </c>
      <c r="J89" s="45" t="n">
        <v>-56413.95</v>
      </c>
    </row>
    <row r="90">
      <c r="A90" s="50" t="n">
        <v>150000</v>
      </c>
      <c r="B90" s="45" t="n">
        <v>1708000</v>
      </c>
      <c r="C90" s="45" t="n">
        <v>1814396.63</v>
      </c>
      <c r="D90" s="45" t="n">
        <v>155712.5</v>
      </c>
      <c r="E90" s="45" t="n">
        <v>1639078.95</v>
      </c>
      <c r="F90" s="45" t="n">
        <v>-68921.05</v>
      </c>
      <c r="G90" s="45" t="n">
        <v>-175317.68</v>
      </c>
      <c r="H90" s="53" t="n">
        <v>-224490.05</v>
      </c>
      <c r="I90" s="48" t="n">
        <v>1.19</v>
      </c>
      <c r="J90" s="45" t="n">
        <v>-189242.92</v>
      </c>
    </row>
    <row r="91">
      <c r="A91" s="50" t="n">
        <v>180000</v>
      </c>
      <c r="B91" s="45" t="n">
        <v>1907800</v>
      </c>
      <c r="C91" s="45" t="n">
        <v>2019624.19</v>
      </c>
      <c r="D91" s="45" t="n">
        <v>155712.5</v>
      </c>
      <c r="E91" s="45" t="n">
        <v>1639078.95</v>
      </c>
      <c r="F91" s="45" t="n">
        <v>-268721.05</v>
      </c>
      <c r="G91" s="45" t="n">
        <v>-380545.24</v>
      </c>
      <c r="H91" s="53" t="n">
        <v>-429717.61</v>
      </c>
      <c r="I91" s="48" t="n">
        <v>1.07</v>
      </c>
      <c r="J91" s="45" t="n">
        <v>-388487.4</v>
      </c>
    </row>
    <row r="92"/>
    <row r="93"/>
    <row r="94">
      <c r="A94" s="3" t="inlineStr">
        <is>
          <t>9. R7 CABIN RECOMMENDATION</t>
        </is>
      </c>
    </row>
    <row r="95">
      <c r="A95" s="58" t="inlineStr">
        <is>
          <t>CONDITIONAL PROCEED TO PHASE 0 - PREMIUM CABINS PASS ON PAPER, BUT ONLY AT 110K PER CABIN</t>
        </is>
      </c>
    </row>
    <row r="96" ht="46" customHeight="1">
      <c r="A96" s="11" t="inlineStr">
        <is>
          <t>The base cabin case (six two-bedroom cabins, 200 EUR ADR, 50% occupancy, ten external covers, 45k of experiences) produces EUR 155,712 of mature EBITDA and EUR 1,639,079 of enterprise value at a 9.5% cap rate. Against total investment of EUR 1,540,760 that is a net gap of EUR +49,147 after 3.0% selling costs: it passes, but by roughly 3.2% of the capital at risk. The project NPV is EUR +76,416, the project IRR 9.21% and the minimum DSCR 1.41x.</t>
        </is>
      </c>
    </row>
    <row r="97" ht="56" customHeight="1">
      <c r="A97" s="11" t="inlineStr">
        <is>
          <t>The corridor is narrow. At 120k per cabin the same demand fails the net total-investment test, and at 150k it only works if the ADR moves to 230 EUR and occupancy to 55% (the stretch case: EBITDA EUR 227,340, net gap EUR +506,865). The 180k ultra-luxury unit fails with the demand this market pays. The downside (five cabins, 190 EUR, 45% occupancy) produces EBITDA EUR 71,598, a minimum DSCR of 0.79x and a net gap of EUR -988,767: it is a demand failure, not a construction-cost problem.</t>
        </is>
      </c>
    </row>
    <row r="98"/>
    <row r="99">
      <c r="A99" s="3" t="inlineStr">
        <is>
          <t>R7 conditions attached to any further work</t>
        </is>
      </c>
    </row>
    <row r="100" ht="28" customHeight="1">
      <c r="A100" s="11" t="inlineStr">
        <is>
          <t>- Run the Phase 0 demand test before committing construction capital: two cabins plus the house for one season, or a restaurant/experience pop-up. The gates are 45% occupancy, 190 EUR realised ADR, eight external covers a day and 25k of experiences.</t>
        </is>
      </c>
    </row>
    <row r="101" ht="28" customHeight="1">
      <c r="A101" s="11" t="inlineStr">
        <is>
          <t>- Keep the all-in cabin cost at or below 110k. At 120k the same demand band fails the net total-investment test; at 130k or more the gap is negative.</t>
        </is>
      </c>
    </row>
    <row r="102" ht="28" customHeight="1">
      <c r="A102" s="11" t="inlineStr">
        <is>
          <t>- Do not budget the 180k ultra-luxury unit. It only works at 250 EUR ADR or more, which the Segovia comparables do not support.</t>
        </is>
      </c>
    </row>
    <row r="103" ht="28" customHeight="1">
      <c r="A103" s="11" t="inlineStr">
        <is>
          <t>- Treat the 45k of agronomic experiences as an operating programme with a host, a calendar and marketing, not as passive income.</t>
        </is>
      </c>
    </row>
    <row r="104" ht="28" customHeight="1">
      <c r="A104" s="11" t="inlineStr">
        <is>
          <t>- Charge the land at its 250k opportunity value; the case does not pass by treating the site as free.</t>
        </is>
      </c>
    </row>
    <row r="105"/>
    <row r="106"/>
    <row r="107">
      <c r="A107" s="3" t="inlineStr">
        <is>
          <t>10. R7 VALUATION CROSS-CHECK - DEVELOPMENT YIELD vs EXIT CAP</t>
        </is>
      </c>
    </row>
    <row r="108" ht="40" customHeight="1">
      <c r="A108" s="12" t="inlineStr">
        <is>
          <t>The positive gap is a development spread: the asset is built at a 10.1% yield on cost and sold at a 9.5% cap. The break-even exit cap is only 30bp above the assumption; at no compression the net gap is just the exit costs.</t>
        </is>
      </c>
    </row>
    <row r="109">
      <c r="A109" s="6" t="inlineStr">
        <is>
          <t>Development yield on cost</t>
        </is>
      </c>
      <c r="B109" s="7" t="n">
        <v>0.1011</v>
      </c>
    </row>
    <row r="110">
      <c r="A110" s="6" t="inlineStr">
        <is>
          <t>Exit cap rate</t>
        </is>
      </c>
      <c r="B110" s="7" t="n">
        <v>0.095</v>
      </c>
    </row>
    <row r="111">
      <c r="A111" s="6" t="inlineStr">
        <is>
          <t>Break-even exit cap (net of costs)</t>
        </is>
      </c>
      <c r="B111" s="7" t="n">
        <v>0.098</v>
      </c>
    </row>
    <row r="112">
      <c r="A112" s="6" t="inlineStr">
        <is>
          <t>Cap-rate headroom (bp)</t>
        </is>
      </c>
      <c r="B112" s="59" t="n">
        <v>30.3</v>
      </c>
    </row>
    <row r="113">
      <c r="A113" s="6" t="inlineStr">
        <is>
          <t>No-compression net gap (EUR)</t>
        </is>
      </c>
      <c r="B113" s="45" t="n">
        <v>-46222.8</v>
      </c>
    </row>
    <row r="114">
      <c r="A114" s="6" t="inlineStr">
        <is>
          <t>Break-even EBITDA, net (EUR)</t>
        </is>
      </c>
      <c r="B114" s="45" t="n">
        <v>150899.18</v>
      </c>
    </row>
    <row r="115">
      <c r="A115" s="6" t="inlineStr">
        <is>
          <t>EBITDA headroom (EUR)</t>
        </is>
      </c>
      <c r="B115" s="45" t="n">
        <v>4813.32</v>
      </c>
    </row>
    <row r="116">
      <c r="A116" s="6" t="inlineStr">
        <is>
          <t>Implied exit multiple</t>
        </is>
      </c>
      <c r="B116" s="48" t="n">
        <v>10.53</v>
      </c>
    </row>
    <row r="117"/>
    <row r="118">
      <c r="A118" s="47" t="inlineStr">
        <is>
          <t>Exit multiple</t>
        </is>
      </c>
      <c r="B118" s="47" t="inlineStr">
        <is>
          <t>EV (EUR)</t>
        </is>
      </c>
      <c r="C118" s="47" t="inlineStr">
        <is>
          <t>Net exit value (EUR)</t>
        </is>
      </c>
      <c r="D118" s="47" t="inlineStr">
        <is>
          <t>Net gap vs total inv. (EUR)</t>
        </is>
      </c>
    </row>
    <row r="119">
      <c r="A119" s="60" t="n">
        <v>9</v>
      </c>
      <c r="B119" s="45" t="n">
        <v>1401412.5</v>
      </c>
      <c r="C119" s="45" t="n">
        <v>1359370.12</v>
      </c>
      <c r="D119" s="53" t="n">
        <v>-181389.92</v>
      </c>
    </row>
    <row r="120">
      <c r="A120" s="60" t="n">
        <v>10.5</v>
      </c>
      <c r="B120" s="45" t="n">
        <v>1634981.25</v>
      </c>
      <c r="C120" s="45" t="n">
        <v>1585931.81</v>
      </c>
      <c r="D120" s="54" t="n">
        <v>45171.77</v>
      </c>
    </row>
    <row r="121">
      <c r="A121" s="60" t="n">
        <v>12</v>
      </c>
      <c r="B121" s="45" t="n">
        <v>1868550</v>
      </c>
      <c r="C121" s="45" t="n">
        <v>1812493.5</v>
      </c>
      <c r="D121" s="54" t="n">
        <v>271733.46</v>
      </c>
    </row>
    <row r="122"/>
    <row r="123"/>
    <row r="124">
      <c r="A124" s="3" t="inlineStr">
        <is>
          <t>11. R7 COST-INFLATION STRESS - REAL COST GROWTH, FLAT REAL PRICES</t>
        </is>
      </c>
    </row>
    <row r="125">
      <c r="A125" s="47" t="inlineStr">
        <is>
          <t>Cost inflation / yr</t>
        </is>
      </c>
      <c r="B125" s="47" t="inlineStr">
        <is>
          <t>EBITDA Y5 (EUR)</t>
        </is>
      </c>
      <c r="C125" s="47" t="inlineStr">
        <is>
          <t>EBITDA margin</t>
        </is>
      </c>
      <c r="D125" s="47" t="inlineStr">
        <is>
          <t>DSCR Y5</t>
        </is>
      </c>
      <c r="E125" s="47" t="inlineStr">
        <is>
          <t>EV (EUR)</t>
        </is>
      </c>
      <c r="F125" s="47" t="inlineStr">
        <is>
          <t>Net gap vs total inv. (EUR)</t>
        </is>
      </c>
      <c r="G125" s="47" t="inlineStr">
        <is>
          <t>Project NPV (EUR)</t>
        </is>
      </c>
      <c r="H125" s="47" t="inlineStr">
        <is>
          <t>Project IRR</t>
        </is>
      </c>
      <c r="I125" s="47" t="inlineStr">
        <is>
          <t>Net test</t>
        </is>
      </c>
    </row>
    <row r="126">
      <c r="A126" s="61" t="n">
        <v>0</v>
      </c>
      <c r="B126" s="45" t="n">
        <v>155712.5</v>
      </c>
      <c r="C126" s="61" t="n">
        <v>0.2717</v>
      </c>
      <c r="D126" s="48" t="n">
        <v>3.15</v>
      </c>
      <c r="E126" s="45" t="n">
        <v>1639078.95</v>
      </c>
      <c r="F126" s="45" t="n">
        <v>49146.54</v>
      </c>
      <c r="G126" s="45" t="n">
        <v>76416.24000000001</v>
      </c>
      <c r="H126" s="7" t="n">
        <v>0.092088</v>
      </c>
      <c r="I126" s="62" t="inlineStr">
        <is>
          <t>PASS</t>
        </is>
      </c>
    </row>
    <row r="127">
      <c r="A127" s="61" t="n">
        <v>0.02</v>
      </c>
      <c r="B127" s="45" t="n">
        <v>136911.79</v>
      </c>
      <c r="C127" s="61" t="n">
        <v>0.2389</v>
      </c>
      <c r="D127" s="48" t="n">
        <v>2.78</v>
      </c>
      <c r="E127" s="45" t="n">
        <v>1441176.74</v>
      </c>
      <c r="F127" s="45" t="n">
        <v>-142818.6</v>
      </c>
      <c r="G127" s="45" t="n">
        <v>-83984.03</v>
      </c>
      <c r="H127" s="7" t="n">
        <v>0.06605999999999999</v>
      </c>
      <c r="I127" s="63" t="inlineStr">
        <is>
          <t>FAIL</t>
        </is>
      </c>
    </row>
    <row r="128">
      <c r="A128" s="61" t="n">
        <v>0.025</v>
      </c>
      <c r="B128" s="45" t="n">
        <v>132035.38</v>
      </c>
      <c r="C128" s="61" t="n">
        <v>0.2304</v>
      </c>
      <c r="D128" s="48" t="n">
        <v>2.69</v>
      </c>
      <c r="E128" s="45" t="n">
        <v>1389846.11</v>
      </c>
      <c r="F128" s="45" t="n">
        <v>-192609.31</v>
      </c>
      <c r="G128" s="45" t="n">
        <v>-125501.41</v>
      </c>
      <c r="H128" s="7" t="n">
        <v>0.058889</v>
      </c>
      <c r="I128" s="63" t="inlineStr">
        <is>
          <t>FAIL</t>
        </is>
      </c>
    </row>
    <row r="129">
      <c r="A129" s="61" t="n">
        <v>0.03</v>
      </c>
      <c r="B129" s="45" t="n">
        <v>127087.08</v>
      </c>
      <c r="C129" s="61" t="n">
        <v>0.2218</v>
      </c>
      <c r="D129" s="48" t="n">
        <v>2.59</v>
      </c>
      <c r="E129" s="45" t="n">
        <v>1337758.74</v>
      </c>
      <c r="F129" s="45" t="n">
        <v>-243134.06</v>
      </c>
      <c r="G129" s="45" t="n">
        <v>-167596.64</v>
      </c>
      <c r="H129" s="7" t="n">
        <v>0.051413</v>
      </c>
      <c r="I129" s="63" t="inlineStr">
        <is>
          <t>FAIL</t>
        </is>
      </c>
    </row>
    <row r="130"/>
    <row r="131">
      <c r="A131" s="3" t="inlineStr">
        <is>
          <t>12. R7 DISTRESS PLAYBOOK (DOWNSIDE CASE)</t>
        </is>
      </c>
    </row>
    <row r="132" ht="32" customHeight="1">
      <c r="A132" s="64" t="inlineStr">
        <is>
          <t>THE LENDER IS REPAID ON SALE, BUT THE EQUITY IS WIPED OUT - DO NOT THROW A CURE AT A DEMAND FAILURE</t>
        </is>
      </c>
    </row>
    <row r="133"/>
    <row r="134">
      <c r="A134" s="6" t="inlineStr">
        <is>
          <t>Minimum DSCR / year</t>
        </is>
      </c>
      <c r="B134" s="6" t="inlineStr">
        <is>
          <t>0.79x in Year 1</t>
        </is>
      </c>
    </row>
    <row r="135">
      <c r="A135" s="6" t="inlineStr">
        <is>
          <t>Cumulative CFADS shortfall (EUR)</t>
        </is>
      </c>
      <c r="B135" s="45" t="n">
        <v>4577.04</v>
      </c>
    </row>
    <row r="136">
      <c r="A136" s="6" t="inlineStr">
        <is>
          <t>Equity cure to 1.25x DSCR (EUR)</t>
        </is>
      </c>
      <c r="B136" s="45" t="n">
        <v>17455.75</v>
      </c>
    </row>
    <row r="137">
      <c r="A137" s="6" t="inlineStr">
        <is>
          <t>Six-month DSRA (EUR)</t>
        </is>
      </c>
      <c r="B137" s="45" t="n">
        <v>20292.72</v>
      </c>
    </row>
    <row r="138">
      <c r="A138" s="6" t="inlineStr">
        <is>
          <t>Net exit value (EUR)</t>
        </is>
      </c>
      <c r="B138" s="45" t="n">
        <v>654606.8199999999</v>
      </c>
    </row>
    <row r="139">
      <c r="A139" s="6" t="inlineStr">
        <is>
          <t>Debt outstanding at exit (EUR)</t>
        </is>
      </c>
      <c r="B139" s="45" t="n">
        <v>457236.43</v>
      </c>
    </row>
    <row r="140">
      <c r="A140" s="6" t="inlineStr">
        <is>
          <t>Lender recovery</t>
        </is>
      </c>
      <c r="B140" s="61" t="n">
        <v>1.4317</v>
      </c>
    </row>
    <row r="141">
      <c r="A141" s="6" t="inlineStr">
        <is>
          <t>Equity at exit (EUR)</t>
        </is>
      </c>
      <c r="B141" s="45" t="n">
        <v>197370.39</v>
      </c>
    </row>
    <row r="142">
      <c r="A142" s="6" t="inlineStr">
        <is>
          <t>Equity invested (EUR)</t>
        </is>
      </c>
      <c r="B142" s="45" t="n">
        <v>1113342.89</v>
      </c>
    </row>
    <row r="143">
      <c r="A143" s="6" t="inlineStr">
        <is>
          <t>Equity recovery</t>
        </is>
      </c>
      <c r="B143" s="61" t="n">
        <v>0.1773</v>
      </c>
    </row>
    <row r="144"/>
    <row r="145">
      <c r="A145" s="47" t="inlineStr">
        <is>
          <t>Year</t>
        </is>
      </c>
      <c r="B145" s="47" t="inlineStr">
        <is>
          <t>CFADS (EUR)</t>
        </is>
      </c>
      <c r="C145" s="47" t="inlineStr">
        <is>
          <t>Debt service (EUR)</t>
        </is>
      </c>
      <c r="D145" s="47" t="inlineStr">
        <is>
          <t>Shortfall (EUR)</t>
        </is>
      </c>
      <c r="E145" s="47" t="inlineStr">
        <is>
          <t>DSCR</t>
        </is>
      </c>
      <c r="F145" s="47" t="inlineStr">
        <is>
          <t>Ending cash (EUR)</t>
        </is>
      </c>
    </row>
    <row r="146">
      <c r="A146" s="55" t="n">
        <v>1</v>
      </c>
      <c r="B146" s="45" t="n">
        <v>17004</v>
      </c>
      <c r="C146" s="45" t="n">
        <v>21581.04</v>
      </c>
      <c r="D146" s="45" t="n">
        <v>4577.04</v>
      </c>
      <c r="E146" s="48" t="n">
        <v>0.79</v>
      </c>
      <c r="F146" s="45" t="n">
        <v>15000</v>
      </c>
    </row>
    <row r="147">
      <c r="A147" s="55" t="n">
        <v>2</v>
      </c>
      <c r="B147" s="45" t="n">
        <v>43248.35</v>
      </c>
      <c r="C147" s="45" t="n">
        <v>40585.44</v>
      </c>
      <c r="D147" s="45" t="n">
        <v>0</v>
      </c>
      <c r="E147" s="48" t="n">
        <v>1.07</v>
      </c>
      <c r="F147" s="45" t="n">
        <v>173204.5</v>
      </c>
    </row>
    <row r="148">
      <c r="A148" s="55" t="n">
        <v>3</v>
      </c>
      <c r="B148" s="45" t="n">
        <v>58730.24</v>
      </c>
      <c r="C148" s="45" t="n">
        <v>40585.44</v>
      </c>
      <c r="D148" s="45" t="n">
        <v>0</v>
      </c>
      <c r="E148" s="48" t="n">
        <v>1.45</v>
      </c>
      <c r="F148" s="45" t="n">
        <v>191349.3</v>
      </c>
    </row>
    <row r="149">
      <c r="A149" s="55" t="n">
        <v>4</v>
      </c>
      <c r="B149" s="45" t="n">
        <v>58730.24</v>
      </c>
      <c r="C149" s="45" t="n">
        <v>40585.44</v>
      </c>
      <c r="D149" s="45" t="n">
        <v>0</v>
      </c>
      <c r="E149" s="48" t="n">
        <v>1.45</v>
      </c>
      <c r="F149" s="45" t="n">
        <v>209494.1</v>
      </c>
    </row>
    <row r="150">
      <c r="A150" s="55" t="n">
        <v>5</v>
      </c>
      <c r="B150" s="45" t="n">
        <v>58730.24</v>
      </c>
      <c r="C150" s="45" t="n">
        <v>40585.44</v>
      </c>
      <c r="D150" s="45" t="n">
        <v>0</v>
      </c>
      <c r="E150" s="48" t="n">
        <v>1.45</v>
      </c>
      <c r="F150" s="45" t="n">
        <v>227638.9</v>
      </c>
    </row>
  </sheetData>
  <mergeCells count="22">
    <mergeCell ref="A77:N77"/>
    <mergeCell ref="A64:N64"/>
    <mergeCell ref="A73:N73"/>
    <mergeCell ref="A103:N103"/>
    <mergeCell ref="A132:N132"/>
    <mergeCell ref="A70:N70"/>
    <mergeCell ref="A69:N69"/>
    <mergeCell ref="A65:N65"/>
    <mergeCell ref="A108:N108"/>
    <mergeCell ref="A75:N75"/>
    <mergeCell ref="A66:N66"/>
    <mergeCell ref="A74:N74"/>
    <mergeCell ref="A101:N101"/>
    <mergeCell ref="A2:N2"/>
    <mergeCell ref="A104:N104"/>
    <mergeCell ref="A95:N95"/>
    <mergeCell ref="A71:N71"/>
    <mergeCell ref="A97:N97"/>
    <mergeCell ref="A100:N100"/>
    <mergeCell ref="A96:N96"/>
    <mergeCell ref="A72:N72"/>
    <mergeCell ref="A102:N10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30"/>
  <sheetViews>
    <sheetView showGridLines="0" workbookViewId="0">
      <pane ySplit="4" topLeftCell="A5" activePane="bottomLeft" state="frozen"/>
      <selection pane="bottomLeft" activeCell="A1" sqref="A1"/>
    </sheetView>
  </sheetViews>
  <sheetFormatPr baseColWidth="8" defaultRowHeight="15"/>
  <cols>
    <col width="34" customWidth="1" min="1" max="1"/>
    <col width="18" customWidth="1" min="2" max="2"/>
    <col width="18" customWidth="1" min="3" max="3"/>
    <col width="42" customWidth="1" min="4" max="4"/>
    <col width="18" customWidth="1" min="5" max="5"/>
    <col width="18" customWidth="1" min="6" max="6"/>
    <col width="18" customWidth="1" min="7" max="7"/>
    <col width="18" customWidth="1" min="8" max="8"/>
    <col width="18" customWidth="1" min="9" max="9"/>
    <col width="18" customWidth="1" min="10" max="10"/>
  </cols>
  <sheetData>
    <row r="1">
      <c r="A1" s="1" t="inlineStr">
        <is>
          <t>ACT 1 - THE PROMOTER'S PITCH: REOPEN THE CASERON AS AN 8-KEY HOTEL</t>
        </is>
      </c>
    </row>
    <row r="2" ht="40" customHeight="1">
      <c r="A2" s="12" t="inlineStr">
        <is>
          <t>The starting point of the case. Eight keys (seven doubles and the full house), a 21-cover restaurant, EUR 725,000 all-in, 70% LTV and a 30% equity cheque. The tab shows the pitch next to the re-modelled engine, not a different project.</t>
        </is>
      </c>
    </row>
    <row r="4">
      <c r="A4" s="3" t="inlineStr">
        <is>
          <t>1. THE PITCH VS THE RE-MODELLED ENGINE</t>
        </is>
      </c>
    </row>
    <row r="5">
      <c r="A5" s="4" t="inlineStr">
        <is>
          <t>Item</t>
        </is>
      </c>
      <c r="B5" s="4" t="inlineStr">
        <is>
          <t>Pitch / deck</t>
        </is>
      </c>
      <c r="C5" s="4" t="inlineStr">
        <is>
          <t>Engine</t>
        </is>
      </c>
      <c r="D5" s="4" t="inlineStr">
        <is>
          <t>Comment</t>
        </is>
      </c>
    </row>
    <row r="6">
      <c r="A6" s="65" t="inlineStr">
        <is>
          <t>All-in investment (EUR)</t>
        </is>
      </c>
      <c r="B6" s="66" t="n">
        <v>725000</v>
      </c>
      <c r="C6" s="66" t="n">
        <v>725000</v>
      </c>
      <c r="D6" s="14" t="inlineStr">
        <is>
          <t>440k works + 35k FF&amp;E + 250k land in kind</t>
        </is>
      </c>
    </row>
    <row r="7">
      <c r="A7" s="65" t="inlineStr">
        <is>
          <t>Senior debt (EUR)</t>
        </is>
      </c>
      <c r="B7" s="66" t="n">
        <v>507500</v>
      </c>
      <c r="C7" s="66" t="n">
        <v>507500</v>
      </c>
      <c r="D7" s="14" t="inlineStr">
        <is>
          <t>70% LTV, 4.5% fixed, 25 years, no grace</t>
        </is>
      </c>
    </row>
    <row r="8">
      <c r="A8" s="65" t="inlineStr">
        <is>
          <t>Cash equity (EUR)</t>
        </is>
      </c>
      <c r="B8" s="66" t="n">
        <v>217500</v>
      </c>
      <c r="C8" s="66" t="n">
        <v>217500</v>
      </c>
      <c r="D8" s="14" t="inlineStr">
        <is>
          <t>30% of CapEx; no funding plug in this case</t>
        </is>
      </c>
    </row>
    <row r="9">
      <c r="A9" s="65" t="inlineStr">
        <is>
          <t>Room-nights Year 1</t>
        </is>
      </c>
      <c r="B9" s="66" t="n">
        <v>491</v>
      </c>
      <c r="C9" s="66" t="n">
        <v>491</v>
      </c>
      <c r="D9" s="14" t="inlineStr">
        <is>
          <t>Seven doubles, 19.2% occupancy</t>
        </is>
      </c>
    </row>
    <row r="10">
      <c r="A10" s="65" t="inlineStr">
        <is>
          <t>House-nights Year 1</t>
        </is>
      </c>
      <c r="B10" s="66" t="n">
        <v>72</v>
      </c>
      <c r="C10" s="66" t="n">
        <v>72</v>
      </c>
      <c r="D10" s="14" t="inlineStr">
        <is>
          <t>Full house, same occupancy</t>
        </is>
      </c>
    </row>
    <row r="11">
      <c r="A11" s="65" t="inlineStr">
        <is>
          <t>Restaurant covers Year 1</t>
        </is>
      </c>
      <c r="B11" s="66" t="n">
        <v>859</v>
      </c>
      <c r="C11" s="66" t="n">
        <v>1486</v>
      </c>
      <c r="D11" s="14" t="inlineStr">
        <is>
          <t>One meal per guest-day at a EUR 20 ticket</t>
        </is>
      </c>
    </row>
    <row r="12">
      <c r="A12" s="65" t="inlineStr">
        <is>
          <t>Revenue Year 1 (EUR)</t>
        </is>
      </c>
      <c r="B12" s="66" t="n">
        <v>96628</v>
      </c>
      <c r="C12" s="66" t="n">
        <v>86275</v>
      </c>
      <c r="D12" s="14" t="inlineStr">
        <is>
          <t>Deck literal 96,628; the re-modelled engine gives 86,275</t>
        </is>
      </c>
    </row>
    <row r="13">
      <c r="A13" s="65" t="inlineStr">
        <is>
          <t>EBITDA Year 1 (EUR)</t>
        </is>
      </c>
      <c r="B13" s="66" t="n">
        <v>11297</v>
      </c>
      <c r="C13" s="66" t="n">
        <v>11297</v>
      </c>
      <c r="D13" s="14" t="inlineStr">
        <is>
          <t>Deck literal retained; the engine reproduces it</t>
        </is>
      </c>
    </row>
    <row r="15">
      <c r="A15" s="3" t="inlineStr">
        <is>
          <t>2. FIVE-YEAR RE-MODELLED PROJECTION (PROMOTER CASE)</t>
        </is>
      </c>
    </row>
    <row r="16">
      <c r="A16" s="4" t="inlineStr">
        <is>
          <t>Year</t>
        </is>
      </c>
      <c r="B16" s="4" t="inlineStr">
        <is>
          <t>Revenue (EUR)</t>
        </is>
      </c>
      <c r="C16" s="4" t="inlineStr">
        <is>
          <t>Variable costs (EUR)</t>
        </is>
      </c>
      <c r="D16" s="4" t="inlineStr">
        <is>
          <t>Gross margin (EUR)</t>
        </is>
      </c>
      <c r="E16" s="4" t="inlineStr">
        <is>
          <t>Payroll (EUR)</t>
        </is>
      </c>
      <c r="F16" s="4" t="inlineStr">
        <is>
          <t>Fixed opex (EUR)</t>
        </is>
      </c>
      <c r="G16" s="4" t="inlineStr">
        <is>
          <t>EBITDA (EUR)</t>
        </is>
      </c>
      <c r="H16" s="4" t="inlineStr">
        <is>
          <t>Debt service (EUR)</t>
        </is>
      </c>
      <c r="I16" s="4" t="inlineStr">
        <is>
          <t>DSCR</t>
        </is>
      </c>
      <c r="J16" s="4" t="inlineStr">
        <is>
          <t>Ending cash (EUR)</t>
        </is>
      </c>
    </row>
    <row r="17">
      <c r="A17" s="67" t="n">
        <v>1</v>
      </c>
      <c r="B17" s="8" t="n">
        <v>86275</v>
      </c>
      <c r="C17" s="8" t="n">
        <v>0</v>
      </c>
      <c r="D17" s="8" t="n">
        <v>86275</v>
      </c>
      <c r="E17" s="8" t="n">
        <v>60075</v>
      </c>
      <c r="F17" s="8" t="n">
        <v>14903</v>
      </c>
      <c r="G17" s="29" t="n">
        <v>11297</v>
      </c>
      <c r="H17" s="8" t="n">
        <v>33850.2</v>
      </c>
      <c r="I17" s="68" t="n">
        <v>0.33</v>
      </c>
      <c r="J17" s="8" t="n">
        <v>-8039.45</v>
      </c>
    </row>
    <row r="18">
      <c r="A18" s="67" t="n">
        <v>2</v>
      </c>
      <c r="B18" s="8" t="n">
        <v>107843.75</v>
      </c>
      <c r="C18" s="8" t="n">
        <v>0</v>
      </c>
      <c r="D18" s="8" t="n">
        <v>107843.75</v>
      </c>
      <c r="E18" s="8" t="n">
        <v>60075</v>
      </c>
      <c r="F18" s="8" t="n">
        <v>14903</v>
      </c>
      <c r="G18" s="29" t="n">
        <v>32865.75</v>
      </c>
      <c r="H18" s="8" t="n">
        <v>33850.2</v>
      </c>
      <c r="I18" s="68" t="n">
        <v>0.97</v>
      </c>
      <c r="J18" s="8" t="n">
        <v>-11767.02</v>
      </c>
    </row>
    <row r="19">
      <c r="A19" s="67" t="n">
        <v>3</v>
      </c>
      <c r="B19" s="8" t="n">
        <v>129412.5</v>
      </c>
      <c r="C19" s="8" t="n">
        <v>0</v>
      </c>
      <c r="D19" s="8" t="n">
        <v>129412.5</v>
      </c>
      <c r="E19" s="8" t="n">
        <v>60075</v>
      </c>
      <c r="F19" s="8" t="n">
        <v>14903</v>
      </c>
      <c r="G19" s="29" t="n">
        <v>54434.5</v>
      </c>
      <c r="H19" s="8" t="n">
        <v>33850.2</v>
      </c>
      <c r="I19" s="48" t="n">
        <v>1.61</v>
      </c>
      <c r="J19" s="8" t="n">
        <v>8817.280000000001</v>
      </c>
    </row>
    <row r="20">
      <c r="A20" s="67" t="n">
        <v>4</v>
      </c>
      <c r="B20" s="8" t="n">
        <v>135883.12</v>
      </c>
      <c r="C20" s="8" t="n">
        <v>0</v>
      </c>
      <c r="D20" s="8" t="n">
        <v>135883.12</v>
      </c>
      <c r="E20" s="8" t="n">
        <v>60075</v>
      </c>
      <c r="F20" s="8" t="n">
        <v>14903</v>
      </c>
      <c r="G20" s="29" t="n">
        <v>60905.12</v>
      </c>
      <c r="H20" s="8" t="n">
        <v>33850.2</v>
      </c>
      <c r="I20" s="48" t="n">
        <v>1.8</v>
      </c>
      <c r="J20" s="8" t="n">
        <v>35872.2</v>
      </c>
    </row>
    <row r="21">
      <c r="A21" s="67" t="n">
        <v>5</v>
      </c>
      <c r="B21" s="8" t="n">
        <v>142677.28</v>
      </c>
      <c r="C21" s="8" t="n">
        <v>0</v>
      </c>
      <c r="D21" s="8" t="n">
        <v>142677.28</v>
      </c>
      <c r="E21" s="8" t="n">
        <v>60075</v>
      </c>
      <c r="F21" s="8" t="n">
        <v>14903</v>
      </c>
      <c r="G21" s="29" t="n">
        <v>67699.28</v>
      </c>
      <c r="H21" s="8" t="n">
        <v>33850.2</v>
      </c>
      <c r="I21" s="48" t="n">
        <v>1.83</v>
      </c>
      <c r="J21" s="8" t="n">
        <v>64073.17</v>
      </c>
    </row>
    <row r="23">
      <c r="A23" s="3" t="inlineStr">
        <is>
          <t>3. WHY THE PITCH IS NOT FUNDABLE</t>
        </is>
      </c>
    </row>
    <row r="24" ht="34" customHeight="1">
      <c r="A24" s="3" t="inlineStr">
        <is>
          <t>Gross margin is 100%</t>
        </is>
      </c>
      <c r="B24" s="11" t="inlineStr">
        <is>
          <t>There is no COGS, OTA commission, amenity, breakfast or payment cost in the promoter model: every euro of revenue becomes gross margin. The audited stack removes that artefact.</t>
        </is>
      </c>
    </row>
    <row r="25" ht="34" customHeight="1">
      <c r="A25" s="3" t="inlineStr">
        <is>
          <t>Year-1 DSCR</t>
        </is>
      </c>
      <c r="B25" s="11" t="inlineStr">
        <is>
          <t>0.33x against a 1.25x covenant. Debt service of EUR 33,850 is not covered.</t>
        </is>
      </c>
    </row>
    <row r="26" ht="34" customHeight="1">
      <c r="A26" s="3" t="inlineStr">
        <is>
          <t>Year-1 cash</t>
        </is>
      </c>
      <c r="B26" s="11" t="inlineStr">
        <is>
          <t>EUR -8,039: the business is cash-negative after the opening year.</t>
        </is>
      </c>
    </row>
    <row r="27" ht="34" customHeight="1">
      <c r="A27" s="3" t="inlineStr">
        <is>
          <t>Positive IRR is an artefact</t>
        </is>
      </c>
      <c r="B27" s="11" t="inlineStr">
        <is>
          <t>The promoter IRR looks positive only because the cost stack is incomplete. It is not evidence that the project works.</t>
        </is>
      </c>
    </row>
    <row r="28" ht="34" customHeight="1">
      <c r="A28" s="3" t="inlineStr">
        <is>
          <t>No grant and no VAT bridge</t>
        </is>
      </c>
      <c r="B28" s="11" t="inlineStr">
        <is>
          <t>The structure ignores the 21% input VAT bridge, the LEADER timing and the DSRA that the audited case has to fund.</t>
        </is>
      </c>
    </row>
    <row r="30" ht="30" customHeight="1">
      <c r="A30" s="69" t="inlineStr">
        <is>
          <t>VERDICT: UNFUNDABLE AS PRESENTED. The pitch is the problem statement, not the investment case.</t>
        </is>
      </c>
    </row>
  </sheetData>
  <mergeCells count="7">
    <mergeCell ref="A30:L30"/>
    <mergeCell ref="A2:L2"/>
    <mergeCell ref="B25:J25"/>
    <mergeCell ref="B28:J28"/>
    <mergeCell ref="B26:J26"/>
    <mergeCell ref="B27:J27"/>
    <mergeCell ref="B24:J2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51"/>
  <sheetViews>
    <sheetView showGridLines="0" workbookViewId="0">
      <pane ySplit="4" topLeftCell="A5" activePane="bottomLeft" state="frozen"/>
      <selection pane="bottomLeft" activeCell="A1" sqref="A1"/>
    </sheetView>
  </sheetViews>
  <sheetFormatPr baseColWidth="8" defaultRowHeight="15"/>
  <cols>
    <col width="36" customWidth="1" min="1" max="1"/>
    <col width="18" customWidth="1" min="2" max="2"/>
    <col width="18" customWidth="1" min="3" max="3"/>
    <col width="18" customWidth="1" min="4" max="4"/>
    <col width="34" customWidth="1" min="5" max="5"/>
    <col width="18" customWidth="1" min="6" max="6"/>
    <col width="18" customWidth="1" min="7" max="7"/>
    <col width="18" customWidth="1" min="8" max="8"/>
    <col width="18" customWidth="1" min="9" max="9"/>
  </cols>
  <sheetData>
    <row r="1">
      <c r="A1" s="1" t="inlineStr">
        <is>
          <t>ACT 2 - INDEPENDENT AUDIT: THE SAME HOTEL, FULL COST STACK, REAL DEMAND</t>
        </is>
      </c>
    </row>
    <row r="2" ht="40" customHeight="1">
      <c r="A2" s="12" t="inlineStr">
        <is>
          <t>The audit does not change the product. It prices the works that the pitch left out, adds the full USALI cost stack, applies INE Segovia seasonality and the Segovia hospitality agreement, and funds the 21% VAT bridge. The result is the audited case.</t>
        </is>
      </c>
    </row>
    <row r="4">
      <c r="A4" s="3" t="inlineStr">
        <is>
          <t>1. CAPEX BRIDGE: FROM THE EUR 725,000 PITCH TO THE EUR 1,050,100 AUDIT</t>
        </is>
      </c>
    </row>
    <row r="5">
      <c r="A5" s="4" t="inlineStr">
        <is>
          <t>CapEx line</t>
        </is>
      </c>
      <c r="B5" s="4" t="inlineStr">
        <is>
          <t>Promoter (EUR)</t>
        </is>
      </c>
      <c r="C5" s="4" t="inlineStr">
        <is>
          <t>Audited (EUR)</t>
        </is>
      </c>
      <c r="D5" s="4" t="inlineStr">
        <is>
          <t>Adjustment (EUR)</t>
        </is>
      </c>
      <c r="E5" s="4" t="inlineStr">
        <is>
          <t>Audit basis</t>
        </is>
      </c>
    </row>
    <row r="6">
      <c r="A6" s="65" t="inlineStr">
        <is>
          <t>Land contributed in kind</t>
        </is>
      </c>
      <c r="B6" s="66" t="n">
        <v>250000</v>
      </c>
      <c r="C6" s="66" t="n">
        <v>250000</v>
      </c>
      <c r="D6" s="66" t="n">
        <v>0</v>
      </c>
      <c r="E6" s="14" t="inlineStr">
        <is>
          <t>Same 25-ha finca at opportunity value</t>
        </is>
      </c>
    </row>
    <row r="7">
      <c r="A7" s="65" t="inlineStr">
        <is>
          <t>Works (reforma)</t>
        </is>
      </c>
      <c r="B7" s="66" t="n">
        <v>440000</v>
      </c>
      <c r="C7" s="66" t="n">
        <v>550000</v>
      </c>
      <c r="D7" s="70" t="n">
        <v>110000</v>
      </c>
      <c r="E7" s="14" t="inlineStr">
        <is>
          <t>550 m2 at a realistic rural build cost</t>
        </is>
      </c>
    </row>
    <row r="8">
      <c r="A8" s="65" t="inlineStr">
        <is>
          <t>Kitchen equipment</t>
        </is>
      </c>
      <c r="B8" s="66" t="n">
        <v>0</v>
      </c>
      <c r="C8" s="66" t="n">
        <v>55000</v>
      </c>
      <c r="D8" s="70" t="n">
        <v>55000</v>
      </c>
      <c r="E8" s="14" t="inlineStr">
        <is>
          <t>Commercial kitchen for 21 covers</t>
        </is>
      </c>
    </row>
    <row r="9">
      <c r="A9" s="65" t="inlineStr">
        <is>
          <t>FF&amp;E</t>
        </is>
      </c>
      <c r="B9" s="66" t="n">
        <v>0</v>
      </c>
      <c r="C9" s="66" t="n">
        <v>65000</v>
      </c>
      <c r="D9" s="70" t="n">
        <v>65000</v>
      </c>
      <c r="E9" s="14" t="inlineStr">
        <is>
          <t>8 keys, textiles, equipment</t>
        </is>
      </c>
    </row>
    <row r="10">
      <c r="A10" s="65" t="inlineStr">
        <is>
          <t>Biological pond</t>
        </is>
      </c>
      <c r="B10" s="66" t="n">
        <v>35000</v>
      </c>
      <c r="C10" s="66" t="n">
        <v>40000</v>
      </c>
      <c r="D10" s="70" t="n">
        <v>5000</v>
      </c>
      <c r="E10" s="14" t="inlineStr">
        <is>
          <t>Required by the project and the grant</t>
        </is>
      </c>
    </row>
    <row r="11">
      <c r="A11" s="65" t="inlineStr">
        <is>
          <t>Digital / PMS</t>
        </is>
      </c>
      <c r="B11" s="66" t="n">
        <v>0</v>
      </c>
      <c r="C11" s="66" t="n">
        <v>12000</v>
      </c>
      <c r="D11" s="70" t="n">
        <v>12000</v>
      </c>
      <c r="E11" s="14" t="inlineStr">
        <is>
          <t>PMS, locks, channel manager</t>
        </is>
      </c>
    </row>
    <row r="12">
      <c r="A12" s="65" t="inlineStr">
        <is>
          <t>Technical fees</t>
        </is>
      </c>
      <c r="B12" s="66" t="n">
        <v>0</v>
      </c>
      <c r="C12" s="66" t="n">
        <v>42600</v>
      </c>
      <c r="D12" s="70" t="n">
        <v>42600</v>
      </c>
      <c r="E12" s="14" t="inlineStr">
        <is>
          <t>Architecture, engineering, permits</t>
        </is>
      </c>
    </row>
    <row r="13">
      <c r="A13" s="65" t="inlineStr">
        <is>
          <t>Contingency</t>
        </is>
      </c>
      <c r="B13" s="66" t="n">
        <v>0</v>
      </c>
      <c r="C13" s="66" t="n">
        <v>35500</v>
      </c>
      <c r="D13" s="70" t="n">
        <v>35500</v>
      </c>
      <c r="E13" s="14" t="inlineStr">
        <is>
          <t>Granite and unforeseen works</t>
        </is>
      </c>
    </row>
    <row r="14">
      <c r="A14" s="5" t="inlineStr">
        <is>
          <t>TOTAL ALL-IN CAPEX</t>
        </is>
      </c>
      <c r="B14" s="29" t="n">
        <v>725000</v>
      </c>
      <c r="C14" s="29" t="n">
        <v>1050100</v>
      </c>
      <c r="D14" s="29" t="n">
        <v>325100</v>
      </c>
      <c r="E14" s="5" t="inlineStr">
        <is>
          <t>+45% over the pitch</t>
        </is>
      </c>
    </row>
    <row r="15">
      <c r="A15" s="5" t="inlineStr">
        <is>
          <t>Cash CapEx (land excluded)</t>
        </is>
      </c>
      <c r="B15" s="29" t="n">
        <v>725000</v>
      </c>
      <c r="C15" s="29" t="n">
        <v>800100</v>
      </c>
      <c r="D15" s="29" t="n">
        <v>75100</v>
      </c>
      <c r="E15" s="5" t="inlineStr">
        <is>
          <t>The cheque the sponsor has to write</t>
        </is>
      </c>
    </row>
    <row r="17">
      <c r="A17" s="3" t="inlineStr">
        <is>
          <t>2. THE COST STACK THE PITCH OMITTED (AUDITED CASE, YEAR 3)</t>
        </is>
      </c>
    </row>
    <row r="18">
      <c r="A18" s="4" t="inlineStr">
        <is>
          <t>Line</t>
        </is>
      </c>
      <c r="B18" s="4" t="inlineStr">
        <is>
          <t>Year 3 (EUR)</t>
        </is>
      </c>
      <c r="C18" s="4" t="inlineStr">
        <is>
          <t>% of revenue</t>
        </is>
      </c>
    </row>
    <row r="19">
      <c r="A19" s="5" t="inlineStr">
        <is>
          <t>Revenue</t>
        </is>
      </c>
      <c r="B19" s="29" t="n">
        <v>171720</v>
      </c>
      <c r="C19" s="71" t="n">
        <v>1</v>
      </c>
    </row>
    <row r="20">
      <c r="A20" s="6" t="inlineStr">
        <is>
          <t>Restaurant COGS</t>
        </is>
      </c>
      <c r="B20" s="8" t="n">
        <v>18030.6</v>
      </c>
      <c r="C20" s="71" t="n">
        <v>0.105</v>
      </c>
    </row>
    <row r="21">
      <c r="A21" s="6" t="inlineStr">
        <is>
          <t>OTA commissions</t>
        </is>
      </c>
      <c r="B21" s="8" t="n">
        <v>10045.62</v>
      </c>
      <c r="C21" s="71" t="n">
        <v>0.0585</v>
      </c>
    </row>
    <row r="22">
      <c r="A22" s="6" t="inlineStr">
        <is>
          <t>Amenities / housekeeping</t>
        </is>
      </c>
      <c r="B22" s="8" t="n">
        <v>4006.8</v>
      </c>
      <c r="C22" s="71" t="n">
        <v>0.0233</v>
      </c>
    </row>
    <row r="23">
      <c r="A23" s="6" t="inlineStr">
        <is>
          <t>Breakfast</t>
        </is>
      </c>
      <c r="B23" s="8" t="n">
        <v>12020.4</v>
      </c>
      <c r="C23" s="71" t="n">
        <v>0.07000000000000001</v>
      </c>
    </row>
    <row r="24">
      <c r="A24" s="6" t="inlineStr">
        <is>
          <t>Total variable costs</t>
        </is>
      </c>
      <c r="B24" s="8" t="n">
        <v>44103.42</v>
      </c>
      <c r="C24" s="71" t="n">
        <v>0.2568</v>
      </c>
    </row>
    <row r="25">
      <c r="A25" s="6" t="inlineStr">
        <is>
          <t>Payroll (Segovia agreement, 35% SS)</t>
        </is>
      </c>
      <c r="B25" s="8" t="n">
        <v>60075</v>
      </c>
      <c r="C25" s="71" t="n">
        <v>0.3498</v>
      </c>
    </row>
    <row r="26">
      <c r="A26" s="6" t="inlineStr">
        <is>
          <t>Fixed operating expenses</t>
        </is>
      </c>
      <c r="B26" s="8" t="n">
        <v>30500</v>
      </c>
      <c r="C26" s="71" t="n">
        <v>0.1776</v>
      </c>
    </row>
    <row r="27">
      <c r="A27" s="5" t="inlineStr">
        <is>
          <t>EBITDA</t>
        </is>
      </c>
      <c r="B27" s="29" t="n">
        <v>37041.58</v>
      </c>
      <c r="C27" s="71" t="n">
        <v>0.2157</v>
      </c>
    </row>
    <row r="28">
      <c r="A28" s="6" t="inlineStr">
        <is>
          <t>FF&amp;E reserve</t>
        </is>
      </c>
      <c r="B28" s="8" t="n">
        <v>5151.6</v>
      </c>
      <c r="C28" s="71" t="n">
        <v>0.03</v>
      </c>
    </row>
    <row r="29">
      <c r="A29" s="5" t="inlineStr">
        <is>
          <t>CFADS</t>
        </is>
      </c>
      <c r="B29" s="29" t="n">
        <v>31889.98</v>
      </c>
      <c r="C29" s="71" t="n">
        <v>0.1857</v>
      </c>
    </row>
    <row r="31">
      <c r="A31" s="3" t="inlineStr">
        <is>
          <t>3. AUDITED CASE: FIVE-YEAR PROJECTION</t>
        </is>
      </c>
    </row>
    <row r="32">
      <c r="A32" s="4" t="inlineStr">
        <is>
          <t>Year</t>
        </is>
      </c>
      <c r="B32" s="4" t="inlineStr">
        <is>
          <t>Revenue (EUR)</t>
        </is>
      </c>
      <c r="C32" s="4" t="inlineStr">
        <is>
          <t>EBITDA (EUR)</t>
        </is>
      </c>
      <c r="D32" s="4" t="inlineStr">
        <is>
          <t>EBITDA %</t>
        </is>
      </c>
      <c r="E32" s="4" t="inlineStr">
        <is>
          <t>CFADS (EUR)</t>
        </is>
      </c>
      <c r="F32" s="4" t="inlineStr">
        <is>
          <t>Debt service (EUR)</t>
        </is>
      </c>
      <c r="G32" s="4" t="inlineStr">
        <is>
          <t>DSCR</t>
        </is>
      </c>
      <c r="H32" s="4" t="inlineStr">
        <is>
          <t>Net income (EUR)</t>
        </is>
      </c>
      <c r="I32" s="4" t="inlineStr">
        <is>
          <t>Ending cash (EUR)</t>
        </is>
      </c>
    </row>
    <row r="33">
      <c r="A33" s="67" t="n">
        <v>1</v>
      </c>
      <c r="B33" s="8" t="n">
        <v>154548</v>
      </c>
      <c r="C33" s="29" t="n">
        <v>24279.92</v>
      </c>
      <c r="D33" s="61" t="n">
        <v>0.16</v>
      </c>
      <c r="E33" s="8" t="n">
        <v>19643.48</v>
      </c>
      <c r="F33" s="8" t="n">
        <v>14701.44</v>
      </c>
      <c r="G33" s="48" t="n">
        <v>1.34</v>
      </c>
      <c r="H33" s="8" t="n">
        <v>-45605.68</v>
      </c>
      <c r="I33" s="8" t="n">
        <v>20700.88</v>
      </c>
    </row>
    <row r="34">
      <c r="A34" s="67" t="n">
        <v>2</v>
      </c>
      <c r="B34" s="8" t="n">
        <v>171720</v>
      </c>
      <c r="C34" s="29" t="n">
        <v>37041.58</v>
      </c>
      <c r="D34" s="61" t="n">
        <v>0.22</v>
      </c>
      <c r="E34" s="8" t="n">
        <v>31889.98</v>
      </c>
      <c r="F34" s="8" t="n">
        <v>27647.64</v>
      </c>
      <c r="G34" s="68" t="n">
        <v>1.15</v>
      </c>
      <c r="H34" s="8" t="n">
        <v>-27983.4</v>
      </c>
      <c r="I34" s="8" t="n">
        <v>183322.64</v>
      </c>
    </row>
    <row r="35">
      <c r="A35" s="67" t="n">
        <v>3</v>
      </c>
      <c r="B35" s="8" t="n">
        <v>171720</v>
      </c>
      <c r="C35" s="29" t="n">
        <v>37041.58</v>
      </c>
      <c r="D35" s="61" t="n">
        <v>0.22</v>
      </c>
      <c r="E35" s="8" t="n">
        <v>31889.98</v>
      </c>
      <c r="F35" s="8" t="n">
        <v>27647.64</v>
      </c>
      <c r="G35" s="68" t="n">
        <v>1.15</v>
      </c>
      <c r="H35" s="8" t="n">
        <v>-22825.59</v>
      </c>
      <c r="I35" s="8" t="n">
        <v>187564.98</v>
      </c>
    </row>
    <row r="36">
      <c r="A36" s="67" t="n">
        <v>4</v>
      </c>
      <c r="B36" s="8" t="n">
        <v>171720</v>
      </c>
      <c r="C36" s="29" t="n">
        <v>37041.58</v>
      </c>
      <c r="D36" s="61" t="n">
        <v>0.22</v>
      </c>
      <c r="E36" s="8" t="n">
        <v>31889.98</v>
      </c>
      <c r="F36" s="8" t="n">
        <v>27647.64</v>
      </c>
      <c r="G36" s="68" t="n">
        <v>1.15</v>
      </c>
      <c r="H36" s="8" t="n">
        <v>-22266.47</v>
      </c>
      <c r="I36" s="8" t="n">
        <v>191807.32</v>
      </c>
    </row>
    <row r="37">
      <c r="A37" s="67" t="n">
        <v>5</v>
      </c>
      <c r="B37" s="8" t="n">
        <v>171720</v>
      </c>
      <c r="C37" s="29" t="n">
        <v>37041.58</v>
      </c>
      <c r="D37" s="61" t="n">
        <v>0.22</v>
      </c>
      <c r="E37" s="8" t="n">
        <v>31889.98</v>
      </c>
      <c r="F37" s="8" t="n">
        <v>27647.64</v>
      </c>
      <c r="G37" s="68" t="n">
        <v>1.15</v>
      </c>
      <c r="H37" s="8" t="n">
        <v>-21684.59</v>
      </c>
      <c r="I37" s="8" t="n">
        <v>196049.66</v>
      </c>
    </row>
    <row r="39">
      <c r="A39" s="3" t="inlineStr">
        <is>
          <t>4. INDEPENDENT INE SEGOVIA MARKET CASE (21.24% MATURE OCCUPANCY)</t>
        </is>
      </c>
    </row>
    <row r="40">
      <c r="A40" s="4" t="inlineStr">
        <is>
          <t>Year</t>
        </is>
      </c>
      <c r="B40" s="4" t="inlineStr">
        <is>
          <t>Revenue (EUR)</t>
        </is>
      </c>
      <c r="C40" s="4" t="inlineStr">
        <is>
          <t>EBITDA (EUR)</t>
        </is>
      </c>
      <c r="D40" s="4" t="inlineStr">
        <is>
          <t>DSCR</t>
        </is>
      </c>
      <c r="E40" s="4" t="inlineStr">
        <is>
          <t>Ending cash (EUR)</t>
        </is>
      </c>
    </row>
    <row r="41">
      <c r="A41" s="55" t="n">
        <v>1</v>
      </c>
      <c r="B41" s="8" t="n">
        <v>95555</v>
      </c>
      <c r="C41" s="29" t="n">
        <v>-18565.58</v>
      </c>
      <c r="D41" s="48" t="n">
        <v>-1.46</v>
      </c>
      <c r="E41" s="8" t="n">
        <v>15000</v>
      </c>
    </row>
    <row r="42">
      <c r="A42" s="55" t="n">
        <v>2</v>
      </c>
      <c r="B42" s="8" t="n">
        <v>119443.75</v>
      </c>
      <c r="C42" s="29" t="n">
        <v>-563.22</v>
      </c>
      <c r="D42" s="48" t="n">
        <v>-0.15</v>
      </c>
      <c r="E42" s="8" t="n">
        <v>141585.25</v>
      </c>
    </row>
    <row r="43">
      <c r="A43" s="55" t="n">
        <v>3</v>
      </c>
      <c r="B43" s="8" t="n">
        <v>143332.5</v>
      </c>
      <c r="C43" s="29" t="n">
        <v>17439.14</v>
      </c>
      <c r="D43" s="48" t="n">
        <v>0.48</v>
      </c>
      <c r="E43" s="8" t="n">
        <v>127076.78</v>
      </c>
    </row>
    <row r="44">
      <c r="A44" s="55" t="n">
        <v>4</v>
      </c>
      <c r="B44" s="8" t="n">
        <v>150499.13</v>
      </c>
      <c r="C44" s="29" t="n">
        <v>22839.85</v>
      </c>
      <c r="D44" s="48" t="n">
        <v>0.66</v>
      </c>
      <c r="E44" s="8" t="n">
        <v>117754.02</v>
      </c>
    </row>
    <row r="45">
      <c r="A45" s="55" t="n">
        <v>5</v>
      </c>
      <c r="B45" s="8" t="n">
        <v>158024.08</v>
      </c>
      <c r="C45" s="29" t="n">
        <v>28510.58</v>
      </c>
      <c r="D45" s="48" t="n">
        <v>0.86</v>
      </c>
      <c r="E45" s="8" t="n">
        <v>113876.24</v>
      </c>
    </row>
    <row r="47">
      <c r="A47" s="3" t="inlineStr">
        <is>
          <t>5. AUDIT FINDINGS</t>
        </is>
      </c>
    </row>
    <row r="48" ht="34" customHeight="1">
      <c r="A48" s="3" t="inlineStr">
        <is>
          <t>CapEx understated by EUR 325,100</t>
        </is>
      </c>
      <c r="B48" s="11" t="inlineStr">
        <is>
          <t>The pitch omitted the kitchen, the pond, digital, fees and contingency. The audited all-in budget is EUR 1,050,100.</t>
        </is>
      </c>
    </row>
    <row r="49" ht="34" customHeight="1">
      <c r="A49" s="3" t="inlineStr">
        <is>
          <t>Cash equity is not 30%</t>
        </is>
      </c>
      <c r="B49" s="11" t="inlineStr">
        <is>
          <t>The funding plug requires EUR 521,090.22, or 49.6% of all-in CapEx. The 35% LTV facility is not the constraint: the DSCR cap is.</t>
        </is>
      </c>
    </row>
    <row r="50" ht="34" customHeight="1">
      <c r="A50" s="3" t="inlineStr">
        <is>
          <t>The upside demand still fails</t>
        </is>
      </c>
      <c r="B50" s="11" t="inlineStr">
        <is>
          <t>At 31.36% mature occupancy the minimum DSCR is 1.15x. The independent INE case is negative in Year 1.</t>
        </is>
      </c>
    </row>
    <row r="51" ht="34" customHeight="1">
      <c r="A51" s="3" t="inlineStr">
        <is>
          <t>Phase II has no funding</t>
        </is>
      </c>
      <c r="B51" s="11" t="inlineStr">
        <is>
          <t>The expansion needs EUR 252k that Phase I cannot generate; the grant and the VAT refund are already committed.</t>
        </is>
      </c>
    </row>
  </sheetData>
  <mergeCells count="5">
    <mergeCell ref="A2:L2"/>
    <mergeCell ref="B48:I48"/>
    <mergeCell ref="B51:I51"/>
    <mergeCell ref="B49:I49"/>
    <mergeCell ref="B50:I5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44"/>
  <sheetViews>
    <sheetView showGridLines="0" workbookViewId="0">
      <pane ySplit="7" topLeftCell="A8" activePane="bottomLeft" state="frozen"/>
      <selection pane="bottomLeft" activeCell="A1" sqref="A1"/>
    </sheetView>
  </sheetViews>
  <sheetFormatPr baseColWidth="8" defaultRowHeight="15"/>
  <cols>
    <col width="40" customWidth="1" min="1" max="1"/>
    <col width="16" customWidth="1" min="2" max="2"/>
    <col width="16" customWidth="1" min="3" max="3"/>
    <col width="16" customWidth="1" min="4" max="4"/>
    <col width="16" customWidth="1" min="5" max="5"/>
    <col width="16" customWidth="1" min="6" max="6"/>
    <col width="74" customWidth="1" min="7" max="7"/>
    <col width="16" customWidth="1" min="8" max="8"/>
  </cols>
  <sheetData>
    <row r="1">
      <c r="A1" s="1" t="inlineStr">
        <is>
          <t>ACT 3 - CREDIT COMMITTEE DECLINE MEMORANDUM</t>
        </is>
      </c>
    </row>
    <row r="2" ht="40" customHeight="1">
      <c r="A2" s="12" t="inlineStr">
        <is>
          <t>The four reasons are computed tests, not opinions. Each one has a threshold and a status; the verdict is DECLINE only because all four fail. The restaurant test is shown as a fully loaded cost centre so the arithmetic can be audited.</t>
        </is>
      </c>
    </row>
    <row r="4" ht="34" customHeight="1">
      <c r="A4" s="72" t="inlineStr">
        <is>
          <t>DECLINE</t>
        </is>
      </c>
    </row>
    <row r="5" ht="38" customHeight="1">
      <c r="A5" s="73" t="inlineStr">
        <is>
          <t>DECLINE. The project fails the DSCR covenant in Year 2, needs EUR 521k of equity instead of the EUR 240k planned, operates a restaurant that does not cover its fixed cost, and cannot fund its own Phase II.</t>
        </is>
      </c>
    </row>
    <row r="7">
      <c r="A7" s="3" t="inlineStr">
        <is>
          <t>1. THE FOUR TESTS</t>
        </is>
      </c>
    </row>
    <row r="8">
      <c r="A8" s="4" t="inlineStr">
        <is>
          <t>#</t>
        </is>
      </c>
      <c r="B8" s="4" t="inlineStr">
        <is>
          <t>Reason</t>
        </is>
      </c>
      <c r="C8" s="4" t="inlineStr">
        <is>
          <t>Metric</t>
        </is>
      </c>
      <c r="D8" s="4" t="inlineStr">
        <is>
          <t>Threshold</t>
        </is>
      </c>
      <c r="E8" s="4" t="inlineStr">
        <is>
          <t>Unit</t>
        </is>
      </c>
      <c r="F8" s="4" t="inlineStr">
        <is>
          <t>Status</t>
        </is>
      </c>
      <c r="G8" s="4" t="inlineStr">
        <is>
          <t>Detail</t>
        </is>
      </c>
    </row>
    <row r="9" ht="66" customHeight="1">
      <c r="A9" s="65" t="n">
        <v>1</v>
      </c>
      <c r="B9" s="74" t="inlineStr">
        <is>
          <t>Year-2 DSCR below covenant</t>
        </is>
      </c>
      <c r="C9" s="66" t="n">
        <v>1.15</v>
      </c>
      <c r="D9" s="66" t="n">
        <v>1.25</v>
      </c>
      <c r="E9" s="74" t="inlineStr">
        <is>
          <t>x</t>
        </is>
      </c>
      <c r="F9" s="75" t="inlineStr">
        <is>
          <t>FAIL</t>
        </is>
      </c>
      <c r="G9" s="14" t="inlineStr">
        <is>
          <t>CFADS of EUR 31,890 against EUR 27,648 of debt service gives 1.15x. To reach the 1.25x covenant the project needs EUR 2,670 more CFADS, or a smaller facility: the DSCR-capped principal is EUR 339,145 versus the EUR 367,535 requested.</t>
        </is>
      </c>
    </row>
    <row r="10" ht="66" customHeight="1">
      <c r="A10" s="65" t="n">
        <v>2</v>
      </c>
      <c r="B10" s="74" t="inlineStr">
        <is>
          <t>Equity requirement is 1.65x the plan</t>
        </is>
      </c>
      <c r="C10" s="66" t="n">
        <v>49.62</v>
      </c>
      <c r="D10" s="66" t="n">
        <v>30</v>
      </c>
      <c r="E10" s="74" t="inlineStr">
        <is>
          <t>% of all-in CapEx</t>
        </is>
      </c>
      <c r="F10" s="75" t="inlineStr">
        <is>
          <t>FAIL</t>
        </is>
      </c>
      <c r="G10" s="14" t="inlineStr">
        <is>
          <t>The funding plug requires EUR 521,090.22 of cash equity: 65.1% of the EUR 800,100 cash works and 49.62% of the EUR 1,050,100 all-in CapEx. The promoter planned 30% (EUR 240,030); the gap is EUR 281,060. The 35% LTV facility is not the constraint - the DSCR cap is.</t>
        </is>
      </c>
    </row>
    <row r="11" ht="66" customHeight="1">
      <c r="A11" s="65" t="n">
        <v>3</v>
      </c>
      <c r="B11" s="74" t="inlineStr">
        <is>
          <t>The restaurant is a fixed-cost trap</t>
        </is>
      </c>
      <c r="C11" s="66" t="n">
        <v>-18678.51</v>
      </c>
      <c r="D11" s="66" t="n">
        <v>0</v>
      </c>
      <c r="E11" s="74" t="inlineStr">
        <is>
          <t>EUR at the EUR 20 ticket</t>
        </is>
      </c>
      <c r="F11" s="75" t="inlineStr">
        <is>
          <t>FAIL</t>
        </is>
      </c>
      <c r="G11" s="14" t="inlineStr">
        <is>
          <t>At the promoter's own design capacity (16 covers/day x 360 days = 5,760 covers), the fully loaded cost centre loses EUR 18,679 at a EUR 20 ticket and earns only EUR 1,481 at EUR 25, on EUR 99,319 of fixed cost. In the audited engine the restaurant produces EUR 42,071 of gross margin against EUR 36,450 of kitchen payroll - EUR 5,621 before rent, utilities or depreciation. It consumes EUR 55,000 of kitchen CapEx and two of the three FTE to serve a 21-cover room that is never full.</t>
        </is>
      </c>
    </row>
    <row r="12" ht="66" customHeight="1">
      <c r="A12" s="65" t="n">
        <v>4</v>
      </c>
      <c r="B12" s="74" t="inlineStr">
        <is>
          <t>Phase II is not self-funding</t>
        </is>
      </c>
      <c r="C12" s="66" t="n">
        <v>-252241.06</v>
      </c>
      <c r="D12" s="66" t="n">
        <v>0</v>
      </c>
      <c r="E12" s="74" t="inlineStr">
        <is>
          <t>EUR funding gap</t>
        </is>
      </c>
      <c r="F12" s="75" t="inlineStr">
        <is>
          <t>FAIL</t>
        </is>
      </c>
      <c r="G12" s="14" t="inlineStr">
        <is>
          <t>The landscape suites and biological pond need EUR 435,564 including input VAT. Phase I ends Year 2 with EUR 183,323 of cash and a Year-3 DSCR of 1.15x, so the expansion opens a EUR 252,241 hole. The grant and the VAT refund are already committed in Phase I and cannot be counted twice.</t>
        </is>
      </c>
    </row>
    <row r="14">
      <c r="A14" s="3" t="inlineStr">
        <is>
          <t>2. REASON 3 - THE RESTAURANT COST CENTRE (EUR)</t>
        </is>
      </c>
    </row>
    <row r="15">
      <c r="A15" s="2" t="inlineStr">
        <is>
          <t>16 covers/day x 360 days = 5,760 covers; food cost 30% of revenue.</t>
        </is>
      </c>
    </row>
    <row r="16">
      <c r="A16" s="4" t="inlineStr">
        <is>
          <t>Fixed cost line</t>
        </is>
      </c>
      <c r="B16" s="4" t="inlineStr">
        <is>
          <t>Annual (EUR)</t>
        </is>
      </c>
    </row>
    <row r="17">
      <c r="A17" s="28" t="inlineStr">
        <is>
          <t>Kitchen payroll (two part-time cooks, 35% SS)</t>
        </is>
      </c>
      <c r="B17" s="25" t="n">
        <v>36450</v>
      </c>
    </row>
    <row r="18">
      <c r="A18" s="28" t="inlineStr">
        <is>
          <t>Front-of-house (one camarero, 32.5% SS)</t>
        </is>
      </c>
      <c r="B18" s="25" t="n">
        <v>23643.51</v>
      </c>
    </row>
    <row r="19">
      <c r="A19" s="28" t="inlineStr">
        <is>
          <t>Allocated overhead (utilities, laundry, POS, insurance)</t>
        </is>
      </c>
      <c r="B19" s="25" t="n">
        <v>21000</v>
      </c>
    </row>
    <row r="20">
      <c r="A20" s="28" t="inlineStr">
        <is>
          <t>Kitchen depreciation (55k at 12%)</t>
        </is>
      </c>
      <c r="B20" s="25" t="n">
        <v>6600</v>
      </c>
    </row>
    <row r="21">
      <c r="A21" s="28" t="inlineStr">
        <is>
          <t>Renovation allocation (25% of works at 3%)</t>
        </is>
      </c>
      <c r="B21" s="25" t="n">
        <v>4125</v>
      </c>
    </row>
    <row r="22">
      <c r="A22" s="28" t="inlineStr">
        <is>
          <t>Property / opportunity cost allocation</t>
        </is>
      </c>
      <c r="B22" s="25" t="n">
        <v>7500</v>
      </c>
    </row>
    <row r="23">
      <c r="A23" s="5" t="inlineStr">
        <is>
          <t>TOTAL FIXED BURDEN</t>
        </is>
      </c>
      <c r="B23" s="29" t="n">
        <v>99318.50999999999</v>
      </c>
    </row>
    <row r="25">
      <c r="A25" s="4" t="inlineStr">
        <is>
          <t>Ticket test</t>
        </is>
      </c>
      <c r="B25" s="4" t="inlineStr">
        <is>
          <t>Covers</t>
        </is>
      </c>
      <c r="C25" s="4" t="inlineStr">
        <is>
          <t>Revenue (EUR)</t>
        </is>
      </c>
      <c r="D25" s="4" t="inlineStr">
        <is>
          <t>COGS (EUR)</t>
        </is>
      </c>
      <c r="E25" s="4" t="inlineStr">
        <is>
          <t>Contribution (EUR)</t>
        </is>
      </c>
      <c r="F25" s="4" t="inlineStr">
        <is>
          <t>Fixed burden (EUR)</t>
        </is>
      </c>
      <c r="G25" s="4" t="inlineStr">
        <is>
          <t>Result (EUR)</t>
        </is>
      </c>
      <c r="H25" s="4" t="inlineStr">
        <is>
          <t>Margin</t>
        </is>
      </c>
    </row>
    <row r="26">
      <c r="A26" s="5" t="inlineStr">
        <is>
          <t>EUR 20 ticket</t>
        </is>
      </c>
      <c r="B26" s="45" t="n">
        <v>5760</v>
      </c>
      <c r="C26" s="8" t="n">
        <v>115200</v>
      </c>
      <c r="D26" s="8" t="n">
        <v>34560</v>
      </c>
      <c r="E26" s="8" t="n">
        <v>80640</v>
      </c>
      <c r="F26" s="8" t="n">
        <v>99318.50999999999</v>
      </c>
      <c r="G26" s="76" t="n">
        <v>-18678.51</v>
      </c>
      <c r="H26" s="61" t="n">
        <v>-0.1621</v>
      </c>
    </row>
    <row r="27">
      <c r="A27" s="5" t="inlineStr">
        <is>
          <t>EUR 25 ticket</t>
        </is>
      </c>
      <c r="B27" s="45" t="n">
        <v>5760</v>
      </c>
      <c r="C27" s="8" t="n">
        <v>144000</v>
      </c>
      <c r="D27" s="8" t="n">
        <v>43200</v>
      </c>
      <c r="E27" s="8" t="n">
        <v>100800</v>
      </c>
      <c r="F27" s="8" t="n">
        <v>99318.50999999999</v>
      </c>
      <c r="G27" s="29" t="n">
        <v>1481.49</v>
      </c>
      <c r="H27" s="61" t="n">
        <v>0.0103</v>
      </c>
    </row>
    <row r="29">
      <c r="A29" s="3" t="inlineStr">
        <is>
          <t>3. REASON 4 - THE PHASE II GATE (EUR)</t>
        </is>
      </c>
    </row>
    <row r="30">
      <c r="A30" s="3" t="inlineStr">
        <is>
          <t>Phase I cash at end of Year 2</t>
        </is>
      </c>
      <c r="B30" s="8" t="n">
        <v>183322.64</v>
      </c>
    </row>
    <row r="31">
      <c r="A31" s="3" t="inlineStr">
        <is>
          <t>Phase II cash need (net CapEx + VAT)</t>
        </is>
      </c>
      <c r="B31" s="8" t="n">
        <v>435563.7</v>
      </c>
    </row>
    <row r="32">
      <c r="A32" s="3" t="inlineStr">
        <is>
          <t>Phase II funding gap</t>
        </is>
      </c>
      <c r="B32" s="8" t="n">
        <v>-252241.06</v>
      </c>
    </row>
    <row r="33">
      <c r="A33" s="3" t="inlineStr">
        <is>
          <t>Phase II proceed</t>
        </is>
      </c>
      <c r="B33" s="6" t="inlineStr">
        <is>
          <t>NO</t>
        </is>
      </c>
    </row>
    <row r="34">
      <c r="A34" s="3" t="inlineStr">
        <is>
          <t>Phase I Year-3 DSCR</t>
        </is>
      </c>
      <c r="B34" s="48" t="n">
        <v>1.15</v>
      </c>
    </row>
    <row r="36">
      <c r="A36" s="3" t="inlineStr">
        <is>
          <t>4. CONTEXT AND MEMORANDUM</t>
        </is>
      </c>
    </row>
    <row r="37">
      <c r="A37" s="3" t="inlineStr">
        <is>
          <t>Case under review</t>
        </is>
      </c>
      <c r="B37" s="28" t="inlineStr">
        <is>
          <t>management</t>
        </is>
      </c>
    </row>
    <row r="38">
      <c r="A38" s="3" t="inlineStr">
        <is>
          <t>All-in CapEx</t>
        </is>
      </c>
      <c r="B38" s="25" t="n">
        <v>1050100</v>
      </c>
    </row>
    <row r="39">
      <c r="A39" s="3" t="inlineStr">
        <is>
          <t>Senior debt requested</t>
        </is>
      </c>
      <c r="B39" s="25" t="n">
        <v>367535</v>
      </c>
    </row>
    <row r="40">
      <c r="A40" s="3" t="inlineStr">
        <is>
          <t>Cash equity plug</t>
        </is>
      </c>
      <c r="B40" s="25" t="n">
        <v>521090.22</v>
      </c>
    </row>
    <row r="41">
      <c r="A41" s="3" t="inlineStr">
        <is>
          <t>Minimum DSCR</t>
        </is>
      </c>
      <c r="B41" s="77" t="n">
        <v>1.15</v>
      </c>
    </row>
    <row r="42">
      <c r="A42" s="3" t="inlineStr">
        <is>
          <t>Terminal value at 8.5% cap</t>
        </is>
      </c>
      <c r="B42" s="25" t="n">
        <v>435783.29</v>
      </c>
    </row>
    <row r="44" ht="38" customHeight="1">
      <c r="A44" s="12" t="inlineStr">
        <is>
          <t>The independent INE market case is worse, not better: at 21.24% occupancy the property produces negative EBITDA in Year 1 and a DSCR of -1.46x. The management case is the upside; the decline holds a fortiori.</t>
        </is>
      </c>
    </row>
  </sheetData>
  <mergeCells count="4">
    <mergeCell ref="A2:L2"/>
    <mergeCell ref="A5:L5"/>
    <mergeCell ref="A4:L4"/>
    <mergeCell ref="A44:L4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64"/>
  <sheetViews>
    <sheetView showGridLines="0"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ACT 4 - THE TURNAROUND: SIX MODULAR CABINS + THE CASERON LODGE</t>
        </is>
      </c>
    </row>
    <row r="2" ht="40" customHeight="1">
      <c r="A2" s="12" t="inlineStr">
        <is>
          <t>The decline is the permission to change the product. The commercial kitchen, the 21-cover restaurant and the 550 m2 of heavy reform disappear. Six 40 m2 modular cabins (EUR 60,000 each) and a four-bedroom lodge in the existing caseron replace them.</t>
        </is>
      </c>
    </row>
    <row r="4">
      <c r="A4" s="3" t="inlineStr">
        <is>
          <t>1. THE NEW PRODUCT</t>
        </is>
      </c>
    </row>
    <row r="5">
      <c r="A5" s="4" t="inlineStr">
        <is>
          <t>Component</t>
        </is>
      </c>
      <c r="B5" s="4" t="inlineStr">
        <is>
          <t>Count</t>
        </is>
      </c>
      <c r="C5" s="4" t="inlineStr">
        <is>
          <t>Capacity / spec</t>
        </is>
      </c>
      <c r="D5" s="4" t="inlineStr">
        <is>
          <t>ADR (EUR)</t>
        </is>
      </c>
      <c r="E5" s="4" t="inlineStr">
        <is>
          <t>Occupancy ramp</t>
        </is>
      </c>
      <c r="F5" s="4" t="inlineStr">
        <is>
          <t>Note</t>
        </is>
      </c>
    </row>
    <row r="6">
      <c r="A6" s="65" t="inlineStr">
        <is>
          <t>Modular cabins</t>
        </is>
      </c>
      <c r="B6" s="74" t="n">
        <v>6</v>
      </c>
      <c r="C6" s="14" t="inlineStr">
        <is>
          <t>40 m2, 2 bed, 4 guests</t>
        </is>
      </c>
      <c r="D6" s="78" t="n">
        <v>210</v>
      </c>
      <c r="E6" s="74" t="inlineStr">
        <is>
          <t>50% / 56% / 58%</t>
        </is>
      </c>
      <c r="F6" s="14" t="inlineStr">
        <is>
          <t>Nordic modular units, installed on screw piles</t>
        </is>
      </c>
    </row>
    <row r="7">
      <c r="A7" s="65" t="inlineStr">
        <is>
          <t>Caserón lodge</t>
        </is>
      </c>
      <c r="B7" s="74" t="n">
        <v>1</v>
      </c>
      <c r="C7" s="14" t="inlineStr">
        <is>
          <t>4 bed, 8 guests</t>
        </is>
      </c>
      <c r="D7" s="78" t="n">
        <v>420</v>
      </c>
      <c r="E7" s="74" t="inlineStr">
        <is>
          <t>32% / 38% / 40%</t>
        </is>
      </c>
      <c r="F7" s="14" t="inlineStr">
        <is>
          <t>Light refresh, no structural works</t>
        </is>
      </c>
    </row>
    <row r="8">
      <c r="A8" s="65" t="inlineStr">
        <is>
          <t>Commercial restaurant</t>
        </is>
      </c>
      <c r="B8" s="74" t="n">
        <v>0</v>
      </c>
      <c r="C8" s="14" t="inlineStr">
        <is>
          <t>Replaced by breakfast baskets and local asadores</t>
        </is>
      </c>
      <c r="D8" s="78" t="n">
        <v>0</v>
      </c>
      <c r="E8" s="74" t="inlineStr">
        <is>
          <t>n/a</t>
        </is>
      </c>
      <c r="F8" s="14" t="inlineStr">
        <is>
          <t>Removes the fixed-cost trap</t>
        </is>
      </c>
    </row>
    <row r="10">
      <c r="A10" s="3" t="inlineStr">
        <is>
          <t>2. T8 CAPITAL BUDGET (NET OF VAT, EUR)</t>
        </is>
      </c>
    </row>
    <row r="11">
      <c r="A11" s="4" t="inlineStr">
        <is>
          <t>CapEx line</t>
        </is>
      </c>
      <c r="B11" s="4" t="inlineStr">
        <is>
          <t>Amount (EUR)</t>
        </is>
      </c>
      <c r="C11" s="4" t="inlineStr">
        <is>
          <t>% of cash CapEx</t>
        </is>
      </c>
      <c r="D11" s="4" t="inlineStr">
        <is>
          <t>Basis</t>
        </is>
      </c>
    </row>
    <row r="12">
      <c r="A12" s="5" t="inlineStr">
        <is>
          <t>6 modular cabins at EUR 60,000</t>
        </is>
      </c>
      <c r="B12" s="8" t="n">
        <v>360000</v>
      </c>
      <c r="C12" s="61" t="n">
        <v>0.5791505791505791</v>
      </c>
      <c r="D12" s="6" t="inlineStr">
        <is>
          <t>Shell, transport and assembly</t>
        </is>
      </c>
    </row>
    <row r="13">
      <c r="A13" s="5" t="inlineStr">
        <is>
          <t>Natural pond / biopool</t>
        </is>
      </c>
      <c r="B13" s="8" t="n">
        <v>40000</v>
      </c>
      <c r="C13" s="61" t="n">
        <v>0.06435006435006435</v>
      </c>
      <c r="D13" s="6" t="inlineStr">
        <is>
          <t>EPDM, biofilter, landscaping</t>
        </is>
      </c>
    </row>
    <row r="14">
      <c r="A14" s="5" t="inlineStr">
        <is>
          <t>Common infrastructure</t>
        </is>
      </c>
      <c r="B14" s="8" t="n">
        <v>70000</v>
      </c>
      <c r="C14" s="61" t="n">
        <v>0.1126126126126126</v>
      </c>
      <c r="D14" s="6" t="inlineStr">
        <is>
          <t>Access, water, solar, sewage</t>
        </is>
      </c>
    </row>
    <row r="15">
      <c r="A15" s="5" t="inlineStr">
        <is>
          <t>Caserón light refresh (lodge)</t>
        </is>
      </c>
      <c r="B15" s="8" t="n">
        <v>60000</v>
      </c>
      <c r="C15" s="61" t="n">
        <v>0.09652509652509653</v>
      </c>
      <c r="D15" s="6" t="inlineStr">
        <is>
          <t>No structural reform</t>
        </is>
      </c>
    </row>
    <row r="16">
      <c r="A16" s="5" t="inlineStr">
        <is>
          <t>FF&amp;E (cabins + lodge)</t>
        </is>
      </c>
      <c r="B16" s="8" t="n">
        <v>20000</v>
      </c>
      <c r="C16" s="61" t="n">
        <v>0.03217503217503218</v>
      </c>
      <c r="D16" s="6" t="inlineStr">
        <is>
          <t>Textiles, furniture, equipment</t>
        </is>
      </c>
    </row>
    <row r="17">
      <c r="A17" s="5" t="inlineStr">
        <is>
          <t>Digital, PMS and locks</t>
        </is>
      </c>
      <c r="B17" s="8" t="n">
        <v>10000</v>
      </c>
      <c r="C17" s="61" t="n">
        <v>0.01608751608751609</v>
      </c>
      <c r="D17" s="6" t="inlineStr">
        <is>
          <t>Guest journey and revenue management</t>
        </is>
      </c>
    </row>
    <row r="18">
      <c r="A18" s="5" t="inlineStr">
        <is>
          <t>Works subtotal</t>
        </is>
      </c>
      <c r="B18" s="29" t="n">
        <v>560000</v>
      </c>
      <c r="C18" s="79" t="n">
        <v>0.9009009009009009</v>
      </c>
      <c r="D18" s="5" t="inlineStr">
        <is>
          <t>Six lines above</t>
        </is>
      </c>
    </row>
    <row r="19">
      <c r="A19" s="5" t="inlineStr">
        <is>
          <t>Technical fees (6%)</t>
        </is>
      </c>
      <c r="B19" s="29" t="n">
        <v>33600</v>
      </c>
      <c r="C19" s="79" t="n">
        <v>0.05405405405405406</v>
      </c>
      <c r="D19" s="5" t="inlineStr">
        <is>
          <t>Architecture, engineering, permits</t>
        </is>
      </c>
    </row>
    <row r="20">
      <c r="A20" s="5" t="inlineStr">
        <is>
          <t>Contingency (5%)</t>
        </is>
      </c>
      <c r="B20" s="29" t="n">
        <v>28000</v>
      </c>
      <c r="C20" s="79" t="n">
        <v>0.04504504504504504</v>
      </c>
      <c r="D20" s="5" t="inlineStr">
        <is>
          <t>Site and module delivery risk</t>
        </is>
      </c>
    </row>
    <row r="21">
      <c r="A21" s="80" t="inlineStr">
        <is>
          <t>CASH CAPEX</t>
        </is>
      </c>
      <c r="B21" s="81" t="n">
        <v>621600</v>
      </c>
      <c r="C21" s="82" t="n">
        <v>1</v>
      </c>
      <c r="D21" s="5" t="inlineStr">
        <is>
          <t>The sponsor's cash cheque</t>
        </is>
      </c>
    </row>
    <row r="22">
      <c r="A22" s="5" t="inlineStr">
        <is>
          <t>Land in kind</t>
        </is>
      </c>
      <c r="B22" s="29" t="n">
        <v>250000</v>
      </c>
      <c r="C22" s="5" t="n">
        <v>0.4021879021879022</v>
      </c>
      <c r="D22" s="5" t="inlineStr">
        <is>
          <t>25-ha estate at opportunity value</t>
        </is>
      </c>
    </row>
    <row r="23">
      <c r="A23" s="80" t="inlineStr">
        <is>
          <t>ALL-IN CAPEX</t>
        </is>
      </c>
      <c r="B23" s="81" t="n">
        <v>871600</v>
      </c>
      <c r="C23" s="80" t="n">
        <v>1.402187902187902</v>
      </c>
      <c r="D23" s="5" t="inlineStr">
        <is>
          <t>Comparable with the audited EUR 1,050,100</t>
        </is>
      </c>
    </row>
    <row r="24">
      <c r="A24" s="3" t="inlineStr">
        <is>
          <t>Installed cost per cabin (cash CapEx net of the caseron refresh, / 6)</t>
        </is>
      </c>
      <c r="B24" s="29" t="n">
        <v>93600</v>
      </c>
    </row>
    <row r="26">
      <c r="A26" s="3" t="inlineStr">
        <is>
          <t>3. FUNDING AT CLOSE (EUR)</t>
        </is>
      </c>
    </row>
    <row r="27">
      <c r="A27" s="4" t="inlineStr">
        <is>
          <t>Use of funds</t>
        </is>
      </c>
      <c r="B27" s="4" t="inlineStr">
        <is>
          <t>Amount (EUR)</t>
        </is>
      </c>
      <c r="C27" s="4" t="inlineStr">
        <is>
          <t>Source of funds</t>
        </is>
      </c>
      <c r="D27" s="4" t="inlineStr">
        <is>
          <t>Amount (EUR)</t>
        </is>
      </c>
    </row>
    <row r="28">
      <c r="A28" s="5" t="inlineStr">
        <is>
          <t>Cash CapEx</t>
        </is>
      </c>
      <c r="B28" s="8" t="n">
        <v>621600</v>
      </c>
      <c r="C28" s="5" t="inlineStr">
        <is>
          <t>Senior debt (4.25%, 20y, 12+12)</t>
        </is>
      </c>
      <c r="D28" s="8" t="n">
        <v>450000</v>
      </c>
    </row>
    <row r="29">
      <c r="A29" s="5" t="inlineStr">
        <is>
          <t>Interest during construction (IDC)</t>
        </is>
      </c>
      <c r="B29" s="8" t="n">
        <v>19125</v>
      </c>
      <c r="C29" s="5" t="inlineStr">
        <is>
          <t>VAT bridge (refunded Month 18)</t>
        </is>
      </c>
      <c r="D29" s="8" t="n">
        <v>130536</v>
      </c>
    </row>
    <row r="30">
      <c r="A30" s="5" t="inlineStr">
        <is>
          <t>Arrangement fee (1%)</t>
        </is>
      </c>
      <c r="B30" s="8" t="n">
        <v>4500</v>
      </c>
      <c r="C30" s="5" t="inlineStr">
        <is>
          <t>Cash equity plug</t>
        </is>
      </c>
      <c r="D30" s="8" t="n">
        <v>252504.82</v>
      </c>
    </row>
    <row r="31">
      <c r="A31" s="5" t="inlineStr">
        <is>
          <t>Input VAT bridge (21%)</t>
        </is>
      </c>
      <c r="B31" s="8" t="n">
        <v>130536</v>
      </c>
      <c r="C31" s="5" t="inlineStr"/>
      <c r="D31" s="6" t="n"/>
    </row>
    <row r="32">
      <c r="A32" s="5" t="inlineStr">
        <is>
          <t>Pre-opening costs</t>
        </is>
      </c>
      <c r="B32" s="8" t="n">
        <v>25000</v>
      </c>
      <c r="C32" s="5" t="inlineStr"/>
      <c r="D32" s="6" t="n"/>
    </row>
    <row r="33">
      <c r="A33" s="5" t="inlineStr">
        <is>
          <t>Opening working capital</t>
        </is>
      </c>
      <c r="B33" s="8" t="n">
        <v>15000</v>
      </c>
      <c r="C33" s="5" t="inlineStr"/>
      <c r="D33" s="6" t="n"/>
    </row>
    <row r="34">
      <c r="A34" s="5" t="inlineStr">
        <is>
          <t>DSRA (6 months)</t>
        </is>
      </c>
      <c r="B34" s="8" t="n">
        <v>17279.82</v>
      </c>
      <c r="C34" s="5" t="inlineStr">
        <is>
          <t>Land in kind (not a cash source)</t>
        </is>
      </c>
      <c r="D34" s="8" t="n">
        <v>250000</v>
      </c>
    </row>
    <row r="35">
      <c r="A35" s="3" t="inlineStr">
        <is>
          <t>TOTAL CASH USES</t>
        </is>
      </c>
      <c r="B35" s="29" t="n">
        <v>833040.8199999999</v>
      </c>
    </row>
    <row r="36">
      <c r="A36" s="3" t="inlineStr">
        <is>
          <t>TOTAL CASH SOURCES</t>
        </is>
      </c>
      <c r="B36" s="29" t="n">
        <v>833040.8199999999</v>
      </c>
    </row>
    <row r="37">
      <c r="A37" s="3" t="inlineStr">
        <is>
          <t>GAP AT CLOSE</t>
        </is>
      </c>
      <c r="B37" s="29" t="n">
        <v>0</v>
      </c>
    </row>
    <row r="38">
      <c r="A38" s="2" t="inlineStr">
        <is>
          <t>Cash equity is 40.6% of cash CapEx and 29.0% of all-in CapEx.</t>
        </is>
      </c>
    </row>
    <row r="40">
      <c r="A40" s="3" t="inlineStr">
        <is>
          <t>4. FIVE-YEAR OPERATING PROJECTION</t>
        </is>
      </c>
    </row>
    <row r="41">
      <c r="A41" s="4" t="inlineStr">
        <is>
          <t>Year</t>
        </is>
      </c>
      <c r="B41" s="4" t="inlineStr">
        <is>
          <t>Cabin revenue</t>
        </is>
      </c>
      <c r="C41" s="4" t="inlineStr">
        <is>
          <t>Lodge revenue</t>
        </is>
      </c>
      <c r="D41" s="4" t="inlineStr">
        <is>
          <t>Experiences</t>
        </is>
      </c>
      <c r="E41" s="4" t="inlineStr">
        <is>
          <t>Total revenue</t>
        </is>
      </c>
      <c r="F41" s="4" t="inlineStr">
        <is>
          <t>Variable costs</t>
        </is>
      </c>
      <c r="G41" s="4" t="inlineStr">
        <is>
          <t>Gross margin</t>
        </is>
      </c>
      <c r="H41" s="4" t="inlineStr">
        <is>
          <t>GM %</t>
        </is>
      </c>
      <c r="I41" s="4" t="inlineStr">
        <is>
          <t>Payroll</t>
        </is>
      </c>
      <c r="J41" s="4" t="inlineStr">
        <is>
          <t>Fixed opex</t>
        </is>
      </c>
      <c r="K41" s="4" t="inlineStr">
        <is>
          <t>EBITDA</t>
        </is>
      </c>
      <c r="L41" s="4" t="inlineStr">
        <is>
          <t>EBITDA %</t>
        </is>
      </c>
      <c r="M41" s="4" t="inlineStr">
        <is>
          <t>FF&amp;E reserve</t>
        </is>
      </c>
      <c r="N41" s="4" t="inlineStr">
        <is>
          <t>CFADS</t>
        </is>
      </c>
      <c r="O41" s="4" t="inlineStr">
        <is>
          <t>Debt service</t>
        </is>
      </c>
      <c r="P41" s="4" t="inlineStr">
        <is>
          <t>DSCR</t>
        </is>
      </c>
      <c r="Q41" s="4" t="inlineStr">
        <is>
          <t>Ending cash</t>
        </is>
      </c>
    </row>
    <row r="42">
      <c r="A42" s="67" t="n">
        <v>1</v>
      </c>
      <c r="B42" s="8" t="n">
        <v>229950</v>
      </c>
      <c r="C42" s="8" t="n">
        <v>49056</v>
      </c>
      <c r="D42" s="8" t="n">
        <v>25000</v>
      </c>
      <c r="E42" s="29" t="n">
        <v>304006</v>
      </c>
      <c r="F42" s="8" t="n">
        <v>127112.89</v>
      </c>
      <c r="G42" s="8" t="n">
        <v>176893.11</v>
      </c>
      <c r="H42" s="61" t="n">
        <v>0.58</v>
      </c>
      <c r="I42" s="8" t="n">
        <v>60950</v>
      </c>
      <c r="J42" s="8" t="n">
        <v>37000</v>
      </c>
      <c r="K42" s="29" t="n">
        <v>78943.11</v>
      </c>
      <c r="L42" s="61" t="n">
        <v>0.26</v>
      </c>
      <c r="M42" s="8" t="n">
        <v>10640.21</v>
      </c>
      <c r="N42" s="8" t="n">
        <v>64105.24</v>
      </c>
      <c r="O42" s="8" t="n">
        <v>19125</v>
      </c>
      <c r="P42" s="83" t="n">
        <v>3.35</v>
      </c>
      <c r="Q42" s="8" t="n">
        <v>52800.76</v>
      </c>
    </row>
    <row r="43">
      <c r="A43" s="67" t="n">
        <v>2</v>
      </c>
      <c r="B43" s="8" t="n">
        <v>257544</v>
      </c>
      <c r="C43" s="8" t="n">
        <v>58254</v>
      </c>
      <c r="D43" s="8" t="n">
        <v>30000</v>
      </c>
      <c r="E43" s="29" t="n">
        <v>345798</v>
      </c>
      <c r="F43" s="8" t="n">
        <v>144588.02</v>
      </c>
      <c r="G43" s="8" t="n">
        <v>201209.98</v>
      </c>
      <c r="H43" s="61" t="n">
        <v>0.58</v>
      </c>
      <c r="I43" s="8" t="n">
        <v>60950</v>
      </c>
      <c r="J43" s="8" t="n">
        <v>37000</v>
      </c>
      <c r="K43" s="29" t="n">
        <v>103259.98</v>
      </c>
      <c r="L43" s="61" t="n">
        <v>0.3</v>
      </c>
      <c r="M43" s="8" t="n">
        <v>12102.93</v>
      </c>
      <c r="N43" s="8" t="n">
        <v>79906.67999999999</v>
      </c>
      <c r="O43" s="8" t="n">
        <v>34559.64</v>
      </c>
      <c r="P43" s="83" t="n">
        <v>2.31</v>
      </c>
      <c r="Q43" s="8" t="n">
        <v>94558.06</v>
      </c>
    </row>
    <row r="44">
      <c r="A44" s="67" t="n">
        <v>3</v>
      </c>
      <c r="B44" s="8" t="n">
        <v>266742</v>
      </c>
      <c r="C44" s="8" t="n">
        <v>61320</v>
      </c>
      <c r="D44" s="8" t="n">
        <v>30000</v>
      </c>
      <c r="E44" s="29" t="n">
        <v>358062</v>
      </c>
      <c r="F44" s="8" t="n">
        <v>149921.4</v>
      </c>
      <c r="G44" s="8" t="n">
        <v>208140.6</v>
      </c>
      <c r="H44" s="61" t="n">
        <v>0.58</v>
      </c>
      <c r="I44" s="8" t="n">
        <v>60950</v>
      </c>
      <c r="J44" s="8" t="n">
        <v>37000</v>
      </c>
      <c r="K44" s="29" t="n">
        <v>110190.6</v>
      </c>
      <c r="L44" s="61" t="n">
        <v>0.31</v>
      </c>
      <c r="M44" s="8" t="n">
        <v>12532.17</v>
      </c>
      <c r="N44" s="8" t="n">
        <v>83607.45</v>
      </c>
      <c r="O44" s="8" t="n">
        <v>34559.64</v>
      </c>
      <c r="P44" s="83" t="n">
        <v>2.42</v>
      </c>
      <c r="Q44" s="8" t="n">
        <v>143605.87</v>
      </c>
    </row>
    <row r="45">
      <c r="A45" s="67" t="n">
        <v>4</v>
      </c>
      <c r="B45" s="8" t="n">
        <v>266742</v>
      </c>
      <c r="C45" s="8" t="n">
        <v>61320</v>
      </c>
      <c r="D45" s="8" t="n">
        <v>30000</v>
      </c>
      <c r="E45" s="29" t="n">
        <v>358062</v>
      </c>
      <c r="F45" s="8" t="n">
        <v>149921.4</v>
      </c>
      <c r="G45" s="8" t="n">
        <v>208140.6</v>
      </c>
      <c r="H45" s="61" t="n">
        <v>0.58</v>
      </c>
      <c r="I45" s="8" t="n">
        <v>60950</v>
      </c>
      <c r="J45" s="8" t="n">
        <v>37000</v>
      </c>
      <c r="K45" s="29" t="n">
        <v>110190.6</v>
      </c>
      <c r="L45" s="61" t="n">
        <v>0.31</v>
      </c>
      <c r="M45" s="8" t="n">
        <v>12532.17</v>
      </c>
      <c r="N45" s="8" t="n">
        <v>83429.53999999999</v>
      </c>
      <c r="O45" s="8" t="n">
        <v>34559.64</v>
      </c>
      <c r="P45" s="83" t="n">
        <v>2.41</v>
      </c>
      <c r="Q45" s="8" t="n">
        <v>192475.77</v>
      </c>
    </row>
    <row r="46">
      <c r="A46" s="67" t="n">
        <v>5</v>
      </c>
      <c r="B46" s="8" t="n">
        <v>266742</v>
      </c>
      <c r="C46" s="8" t="n">
        <v>61320</v>
      </c>
      <c r="D46" s="8" t="n">
        <v>30000</v>
      </c>
      <c r="E46" s="29" t="n">
        <v>358062</v>
      </c>
      <c r="F46" s="8" t="n">
        <v>149921.4</v>
      </c>
      <c r="G46" s="8" t="n">
        <v>208140.6</v>
      </c>
      <c r="H46" s="61" t="n">
        <v>0.58</v>
      </c>
      <c r="I46" s="8" t="n">
        <v>60950</v>
      </c>
      <c r="J46" s="8" t="n">
        <v>37000</v>
      </c>
      <c r="K46" s="29" t="n">
        <v>110190.6</v>
      </c>
      <c r="L46" s="61" t="n">
        <v>0.31</v>
      </c>
      <c r="M46" s="8" t="n">
        <v>12532.17</v>
      </c>
      <c r="N46" s="8" t="n">
        <v>83243.92</v>
      </c>
      <c r="O46" s="8" t="n">
        <v>34559.64</v>
      </c>
      <c r="P46" s="83" t="n">
        <v>2.41</v>
      </c>
      <c r="Q46" s="8" t="n">
        <v>241160.05</v>
      </c>
    </row>
    <row r="48">
      <c r="A48" s="3" t="inlineStr">
        <is>
          <t>5. RETURNS ON TWO CAPITAL BASES</t>
        </is>
      </c>
    </row>
    <row r="49">
      <c r="A49" s="4" t="inlineStr">
        <is>
          <t>Basis</t>
        </is>
      </c>
      <c r="B49" s="4" t="inlineStr">
        <is>
          <t>Initial investment (EUR)</t>
        </is>
      </c>
      <c r="C49" s="4" t="inlineStr">
        <is>
          <t>Initial equity (EUR)</t>
        </is>
      </c>
      <c r="D49" s="4" t="inlineStr">
        <is>
          <t>Project IRR</t>
        </is>
      </c>
      <c r="E49" s="4" t="inlineStr">
        <is>
          <t>Equity IRR</t>
        </is>
      </c>
      <c r="F49" s="4" t="inlineStr">
        <is>
          <t>Project NPV @ 9%</t>
        </is>
      </c>
      <c r="G49" s="4" t="inlineStr">
        <is>
          <t>Equity NPV @ 9%</t>
        </is>
      </c>
      <c r="H49" s="4" t="inlineStr">
        <is>
          <t>Project MOIC</t>
        </is>
      </c>
      <c r="I49" s="4" t="inlineStr">
        <is>
          <t>Equity MOIC</t>
        </is>
      </c>
      <c r="J49" s="4" t="inlineStr">
        <is>
          <t>Net exit value (EUR)</t>
        </is>
      </c>
    </row>
    <row r="50">
      <c r="A50" s="5" t="inlineStr">
        <is>
          <t>All-in (land at opportunity value)</t>
        </is>
      </c>
      <c r="B50" s="8" t="n">
        <v>952504.8199999999</v>
      </c>
      <c r="C50" s="8" t="n">
        <v>502504.82</v>
      </c>
      <c r="D50" s="7" t="n">
        <v>0.126045</v>
      </c>
      <c r="E50" s="7" t="n">
        <v>0.189538</v>
      </c>
      <c r="F50" s="8" t="n">
        <v>148550.85</v>
      </c>
      <c r="G50" s="8" t="n">
        <v>239910.94</v>
      </c>
      <c r="H50" s="48" t="n">
        <v>1.7076</v>
      </c>
      <c r="I50" s="48" t="n">
        <v>2.1906</v>
      </c>
      <c r="J50" s="8" t="n">
        <v>1257469.2</v>
      </c>
    </row>
    <row r="51">
      <c r="A51" s="5" t="inlineStr">
        <is>
          <t>Cash (sponsor cheque)</t>
        </is>
      </c>
      <c r="B51" s="8" t="n">
        <v>702504.8199999999</v>
      </c>
      <c r="C51" s="8" t="n">
        <v>252504.82</v>
      </c>
      <c r="D51" s="7" t="n">
        <v>0.207046</v>
      </c>
      <c r="E51" s="7" t="n">
        <v>0.397401</v>
      </c>
      <c r="F51" s="8" t="n">
        <v>398550.85</v>
      </c>
      <c r="G51" s="8" t="n">
        <v>489910.94</v>
      </c>
      <c r="H51" s="48" t="n">
        <v>2.3153</v>
      </c>
      <c r="I51" s="48" t="n">
        <v>4.3595</v>
      </c>
      <c r="J51" s="8" t="n">
        <v>1257469.2</v>
      </c>
    </row>
    <row r="53">
      <c r="A53" s="3" t="inlineStr">
        <is>
          <t>Exit cap rate</t>
        </is>
      </c>
      <c r="B53" s="23" t="n">
        <v>0.08500000000000001</v>
      </c>
    </row>
    <row r="54">
      <c r="A54" s="3" t="inlineStr">
        <is>
          <t>Exit costs</t>
        </is>
      </c>
      <c r="B54" s="23" t="n">
        <v>0.03</v>
      </c>
    </row>
    <row r="55">
      <c r="A55" s="3" t="inlineStr">
        <is>
          <t>Value gap vs all-in CapEx</t>
        </is>
      </c>
      <c r="B55" s="25" t="n">
        <v>385869.2</v>
      </c>
    </row>
    <row r="56">
      <c r="A56" s="3" t="inlineStr">
        <is>
          <t>Value gap vs cash CapEx</t>
        </is>
      </c>
      <c r="B56" s="25" t="n">
        <v>635869.2</v>
      </c>
    </row>
    <row r="57">
      <c r="A57" s="3" t="inlineStr">
        <is>
          <t>Value gap vs all-in project investment</t>
        </is>
      </c>
      <c r="B57" s="25" t="n">
        <v>304964.38</v>
      </c>
    </row>
    <row r="59">
      <c r="A59" s="3" t="inlineStr">
        <is>
          <t>6. HONESTY CHECK: WITH AND WITHOUT THE CASERON LODGE</t>
        </is>
      </c>
    </row>
    <row r="60">
      <c r="A60" s="4" t="inlineStr">
        <is>
          <t>Scope</t>
        </is>
      </c>
      <c r="B60" s="4" t="inlineStr">
        <is>
          <t>Revenue Y3</t>
        </is>
      </c>
      <c r="C60" s="4" t="inlineStr">
        <is>
          <t>EBITDA Y3</t>
        </is>
      </c>
      <c r="D60" s="4" t="inlineStr">
        <is>
          <t>Min DSCR</t>
        </is>
      </c>
      <c r="E60" s="4" t="inlineStr">
        <is>
          <t>All-in equity IRR</t>
        </is>
      </c>
      <c r="F60" s="4" t="inlineStr">
        <is>
          <t>Cash equity IRR</t>
        </is>
      </c>
    </row>
    <row r="61">
      <c r="A61" s="28" t="inlineStr">
        <is>
          <t>6 cabins + caseron lodge</t>
        </is>
      </c>
      <c r="B61" s="25" t="n">
        <v>358062</v>
      </c>
      <c r="C61" s="25" t="n">
        <v>110190.6</v>
      </c>
      <c r="D61" s="77" t="n">
        <v>2.31</v>
      </c>
      <c r="E61" s="23" t="n">
        <v>0.189538</v>
      </c>
      <c r="F61" s="23" t="n">
        <v>0.397401</v>
      </c>
    </row>
    <row r="62">
      <c r="A62" s="28" t="inlineStr">
        <is>
          <t>6 cabins only</t>
        </is>
      </c>
      <c r="B62" s="25" t="n">
        <v>296742</v>
      </c>
      <c r="C62" s="25" t="n">
        <v>79085.3</v>
      </c>
      <c r="D62" s="77" t="n">
        <v>1.75</v>
      </c>
      <c r="E62" s="23" t="n">
        <v>0.08008899999999999</v>
      </c>
      <c r="F62" s="23" t="n">
        <v>0.294733</v>
      </c>
    </row>
    <row r="64" ht="30" customHeight="1">
      <c r="A64" s="84" t="inlineStr">
        <is>
          <t>VERDICT: PROCEED. Minimum DSCR 2.31x, equity IRR 19.0% all-in / 39.7% cash, and 385,869 EUR of value over all-in CapEx.</t>
        </is>
      </c>
    </row>
  </sheetData>
  <mergeCells count="2">
    <mergeCell ref="A2:L2"/>
    <mergeCell ref="A64:L64"/>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4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28" customWidth="1" min="3" max="3"/>
    <col width="28" customWidth="1" min="4" max="4"/>
    <col width="18" customWidth="1" min="5" max="5"/>
    <col width="18" customWidth="1" min="6" max="6"/>
    <col width="18" customWidth="1" min="7" max="7"/>
    <col width="18" customWidth="1" min="8" max="8"/>
  </cols>
  <sheetData>
    <row r="1">
      <c r="A1" s="1" t="inlineStr">
        <is>
          <t>ACT 5 - EXECUTIVE COMPARISON: PROMOTER PLAN vs AUDITED CASE vs CABIN TURNAROUND</t>
        </is>
      </c>
    </row>
    <row r="2" ht="40" customHeight="1">
      <c r="A2" s="12" t="inlineStr">
        <is>
          <t>All three columns are produced by their own engine and shown on the same convention: exit at an 8.5% cap rate, net of 3% exit costs. The audited equity IRR in Act 2 is quoted gross of exit costs (-23.16%); net of costs it is -24.4%.</t>
        </is>
      </c>
    </row>
    <row r="4">
      <c r="A4" s="3" t="inlineStr">
        <is>
          <t>1. THE THREE CASES</t>
        </is>
      </c>
    </row>
    <row r="5">
      <c r="A5" s="4" t="inlineStr">
        <is>
          <t>Metric</t>
        </is>
      </c>
      <c r="B5" s="4" t="inlineStr">
        <is>
          <t>Promoter plan</t>
        </is>
      </c>
      <c r="C5" s="4" t="inlineStr">
        <is>
          <t>Audited case</t>
        </is>
      </c>
      <c r="D5" s="4" t="inlineStr">
        <is>
          <t>Cabin turnaround (T8)</t>
        </is>
      </c>
    </row>
    <row r="6">
      <c r="A6" s="6" t="inlineStr">
        <is>
          <t>Keys</t>
        </is>
      </c>
      <c r="B6" s="37" t="n">
        <v>8</v>
      </c>
      <c r="C6" s="37" t="n">
        <v>8</v>
      </c>
      <c r="D6" s="37" t="n">
        <v>7</v>
      </c>
    </row>
    <row r="7">
      <c r="A7" s="6" t="inlineStr">
        <is>
          <t>Guests at full occupancy</t>
        </is>
      </c>
      <c r="B7" s="37" t="n">
        <v>21</v>
      </c>
      <c r="C7" s="37" t="n">
        <v>21</v>
      </c>
      <c r="D7" s="37" t="n">
        <v>32</v>
      </c>
    </row>
    <row r="8">
      <c r="A8" s="6" t="inlineStr">
        <is>
          <t>Mature occupancy</t>
        </is>
      </c>
      <c r="B8" s="37" t="inlineStr">
        <is>
          <t>19.2%</t>
        </is>
      </c>
      <c r="C8" s="37" t="inlineStr">
        <is>
          <t>31.4%</t>
        </is>
      </c>
      <c r="D8" s="37" t="inlineStr">
        <is>
          <t>55.4%</t>
        </is>
      </c>
    </row>
    <row r="9">
      <c r="A9" s="6" t="inlineStr">
        <is>
          <t>Blended ADR (EUR)</t>
        </is>
      </c>
      <c r="B9" s="37" t="inlineStr">
        <is>
          <t>123</t>
        </is>
      </c>
      <c r="C9" s="37" t="inlineStr">
        <is>
          <t>122</t>
        </is>
      </c>
      <c r="D9" s="37" t="inlineStr">
        <is>
          <t>232</t>
        </is>
      </c>
    </row>
    <row r="10">
      <c r="A10" s="5" t="inlineStr">
        <is>
          <t>All-in CapEx (EUR)</t>
        </is>
      </c>
      <c r="B10" s="85" t="inlineStr">
        <is>
          <t>725,000</t>
        </is>
      </c>
      <c r="C10" s="85" t="inlineStr">
        <is>
          <t>1,050,100</t>
        </is>
      </c>
      <c r="D10" s="85" t="inlineStr">
        <is>
          <t>871,600</t>
        </is>
      </c>
    </row>
    <row r="11">
      <c r="A11" s="6" t="inlineStr">
        <is>
          <t>Cash CapEx (EUR)</t>
        </is>
      </c>
      <c r="B11" s="37" t="inlineStr">
        <is>
          <t>725,000</t>
        </is>
      </c>
      <c r="C11" s="37" t="inlineStr">
        <is>
          <t>800,100</t>
        </is>
      </c>
      <c r="D11" s="37" t="inlineStr">
        <is>
          <t>621,600</t>
        </is>
      </c>
    </row>
    <row r="12">
      <c r="A12" s="6" t="inlineStr">
        <is>
          <t>Senior debt (EUR)</t>
        </is>
      </c>
      <c r="B12" s="37" t="inlineStr">
        <is>
          <t>507,500</t>
        </is>
      </c>
      <c r="C12" s="37" t="inlineStr">
        <is>
          <t>367,535</t>
        </is>
      </c>
      <c r="D12" s="37" t="inlineStr">
        <is>
          <t>450,000</t>
        </is>
      </c>
    </row>
    <row r="13">
      <c r="A13" s="5" t="inlineStr">
        <is>
          <t>Cash equity (EUR)</t>
        </is>
      </c>
      <c r="B13" s="85" t="inlineStr">
        <is>
          <t>217,500</t>
        </is>
      </c>
      <c r="C13" s="85" t="inlineStr">
        <is>
          <t>521,090</t>
        </is>
      </c>
      <c r="D13" s="85" t="inlineStr">
        <is>
          <t>252,505</t>
        </is>
      </c>
    </row>
    <row r="14">
      <c r="A14" s="6" t="inlineStr">
        <is>
          <t>Equity / all-in CapEx</t>
        </is>
      </c>
      <c r="B14" s="37" t="inlineStr">
        <is>
          <t>30.0%</t>
        </is>
      </c>
      <c r="C14" s="37" t="inlineStr">
        <is>
          <t>49.6%</t>
        </is>
      </c>
      <c r="D14" s="37" t="inlineStr">
        <is>
          <t>29.0%</t>
        </is>
      </c>
    </row>
    <row r="15">
      <c r="A15" s="6" t="inlineStr">
        <is>
          <t>Equity / cash CapEx</t>
        </is>
      </c>
      <c r="B15" s="37" t="inlineStr">
        <is>
          <t>30.0%</t>
        </is>
      </c>
      <c r="C15" s="37" t="inlineStr">
        <is>
          <t>65.1%</t>
        </is>
      </c>
      <c r="D15" s="37" t="inlineStr">
        <is>
          <t>40.6%</t>
        </is>
      </c>
    </row>
    <row r="16">
      <c r="A16" s="6" t="inlineStr">
        <is>
          <t>Revenue Year 1 (EUR)</t>
        </is>
      </c>
      <c r="B16" s="37" t="inlineStr">
        <is>
          <t>86,275</t>
        </is>
      </c>
      <c r="C16" s="37" t="inlineStr">
        <is>
          <t>154,548</t>
        </is>
      </c>
      <c r="D16" s="37" t="inlineStr">
        <is>
          <t>304,006</t>
        </is>
      </c>
    </row>
    <row r="17">
      <c r="A17" s="6" t="inlineStr">
        <is>
          <t>Revenue mature (EUR)</t>
        </is>
      </c>
      <c r="B17" s="37" t="inlineStr">
        <is>
          <t>129,412</t>
        </is>
      </c>
      <c r="C17" s="37" t="inlineStr">
        <is>
          <t>171,720</t>
        </is>
      </c>
      <c r="D17" s="37" t="inlineStr">
        <is>
          <t>358,062</t>
        </is>
      </c>
    </row>
    <row r="18">
      <c r="A18" s="6" t="inlineStr">
        <is>
          <t>EBITDA Year 1 (EUR)</t>
        </is>
      </c>
      <c r="B18" s="37" t="inlineStr">
        <is>
          <t>11,297</t>
        </is>
      </c>
      <c r="C18" s="37" t="inlineStr">
        <is>
          <t>24,280</t>
        </is>
      </c>
      <c r="D18" s="37" t="inlineStr">
        <is>
          <t>78,943</t>
        </is>
      </c>
    </row>
    <row r="19">
      <c r="A19" s="6" t="inlineStr">
        <is>
          <t>EBITDA mature (EUR)</t>
        </is>
      </c>
      <c r="B19" s="37" t="inlineStr">
        <is>
          <t>54,434</t>
        </is>
      </c>
      <c r="C19" s="37" t="inlineStr">
        <is>
          <t>37,042</t>
        </is>
      </c>
      <c r="D19" s="37" t="inlineStr">
        <is>
          <t>110,191</t>
        </is>
      </c>
    </row>
    <row r="20">
      <c r="A20" s="6" t="inlineStr">
        <is>
          <t>EBITDA margin mature</t>
        </is>
      </c>
      <c r="B20" s="37" t="inlineStr">
        <is>
          <t>42.1%</t>
        </is>
      </c>
      <c r="C20" s="37" t="inlineStr">
        <is>
          <t>21.6%</t>
        </is>
      </c>
      <c r="D20" s="37" t="inlineStr">
        <is>
          <t>30.8%</t>
        </is>
      </c>
    </row>
    <row r="21">
      <c r="A21" s="6" t="inlineStr">
        <is>
          <t>Gross margin mature</t>
        </is>
      </c>
      <c r="B21" s="37" t="inlineStr">
        <is>
          <t>100.0%</t>
        </is>
      </c>
      <c r="C21" s="37" t="inlineStr">
        <is>
          <t>74.3%</t>
        </is>
      </c>
      <c r="D21" s="37" t="inlineStr">
        <is>
          <t>58.1%</t>
        </is>
      </c>
    </row>
    <row r="22">
      <c r="A22" s="5" t="inlineStr">
        <is>
          <t>Minimum DSCR (x)</t>
        </is>
      </c>
      <c r="B22" s="85" t="inlineStr">
        <is>
          <t>0.33x</t>
        </is>
      </c>
      <c r="C22" s="85" t="inlineStr">
        <is>
          <t>1.15x</t>
        </is>
      </c>
      <c r="D22" s="85" t="inlineStr">
        <is>
          <t>2.31x</t>
        </is>
      </c>
    </row>
    <row r="23">
      <c r="A23" s="6" t="inlineStr">
        <is>
          <t>Year-2 DSCR (x)</t>
        </is>
      </c>
      <c r="B23" s="37" t="inlineStr">
        <is>
          <t>0.97x</t>
        </is>
      </c>
      <c r="C23" s="37" t="inlineStr">
        <is>
          <t>1.15x</t>
        </is>
      </c>
      <c r="D23" s="37" t="inlineStr">
        <is>
          <t>2.31x</t>
        </is>
      </c>
    </row>
    <row r="24">
      <c r="A24" s="6" t="inlineStr">
        <is>
          <t>Project IRR all-in</t>
        </is>
      </c>
      <c r="B24" s="37" t="inlineStr">
        <is>
          <t>6.3%</t>
        </is>
      </c>
      <c r="C24" s="37" t="inlineStr">
        <is>
          <t>-9.9%</t>
        </is>
      </c>
      <c r="D24" s="37" t="inlineStr">
        <is>
          <t>12.6%</t>
        </is>
      </c>
    </row>
    <row r="25">
      <c r="A25" s="6" t="inlineStr">
        <is>
          <t>Project IRR cash</t>
        </is>
      </c>
      <c r="B25" s="37" t="inlineStr">
        <is>
          <t>6.3%</t>
        </is>
      </c>
      <c r="C25" s="37" t="inlineStr">
        <is>
          <t>-4.3%</t>
        </is>
      </c>
      <c r="D25" s="37" t="inlineStr">
        <is>
          <t>20.7%</t>
        </is>
      </c>
    </row>
    <row r="26">
      <c r="A26" s="5" t="inlineStr">
        <is>
          <t>Equity IRR all-in</t>
        </is>
      </c>
      <c r="B26" s="85" t="inlineStr">
        <is>
          <t>10.8%</t>
        </is>
      </c>
      <c r="C26" s="85" t="inlineStr">
        <is>
          <t>-24.4%</t>
        </is>
      </c>
      <c r="D26" s="85" t="inlineStr">
        <is>
          <t>19.0%</t>
        </is>
      </c>
    </row>
    <row r="27">
      <c r="A27" s="6" t="inlineStr">
        <is>
          <t>Equity IRR cash</t>
        </is>
      </c>
      <c r="B27" s="37" t="inlineStr">
        <is>
          <t>10.8%</t>
        </is>
      </c>
      <c r="C27" s="37" t="inlineStr">
        <is>
          <t>-16.2%</t>
        </is>
      </c>
      <c r="D27" s="37" t="inlineStr">
        <is>
          <t>39.7%</t>
        </is>
      </c>
    </row>
    <row r="28">
      <c r="A28" s="6" t="inlineStr">
        <is>
          <t>Net exit value (EUR)</t>
        </is>
      </c>
      <c r="B28" s="37" t="inlineStr">
        <is>
          <t>772,568</t>
        </is>
      </c>
      <c r="C28" s="37" t="inlineStr">
        <is>
          <t>422,710</t>
        </is>
      </c>
      <c r="D28" s="37" t="inlineStr">
        <is>
          <t>1,257,469</t>
        </is>
      </c>
    </row>
    <row r="29">
      <c r="A29" s="5" t="inlineStr">
        <is>
          <t>Value gap vs CapEx (EUR)</t>
        </is>
      </c>
      <c r="B29" s="85" t="inlineStr">
        <is>
          <t>47,568</t>
        </is>
      </c>
      <c r="C29" s="85" t="inlineStr">
        <is>
          <t>-627,390</t>
        </is>
      </c>
      <c r="D29" s="85" t="inlineStr">
        <is>
          <t>385,869</t>
        </is>
      </c>
    </row>
    <row r="31">
      <c r="A31" s="3" t="inlineStr">
        <is>
          <t>2. VALUE BRIDGE AT THE 8.5% EXIT CAP RATE (EUR, NET OF 3% COSTS)</t>
        </is>
      </c>
    </row>
    <row r="32">
      <c r="A32" s="4" t="inlineStr">
        <is>
          <t>Case</t>
        </is>
      </c>
      <c r="B32" s="4" t="inlineStr">
        <is>
          <t>EBITDA at exit</t>
        </is>
      </c>
      <c r="C32" s="4" t="inlineStr">
        <is>
          <t>Gross terminal value</t>
        </is>
      </c>
      <c r="D32" s="4" t="inlineStr">
        <is>
          <t>Net terminal value</t>
        </is>
      </c>
      <c r="E32" s="4" t="inlineStr">
        <is>
          <t>All-in CapEx</t>
        </is>
      </c>
      <c r="F32" s="4" t="inlineStr">
        <is>
          <t>Value gap vs CapEx</t>
        </is>
      </c>
      <c r="G32" s="4" t="inlineStr">
        <is>
          <t>Value gap %</t>
        </is>
      </c>
    </row>
    <row r="33">
      <c r="A33" s="5" t="inlineStr">
        <is>
          <t>Promoter plan</t>
        </is>
      </c>
      <c r="B33" s="8" t="n">
        <v>67699.28</v>
      </c>
      <c r="C33" s="8" t="n">
        <v>796462.12</v>
      </c>
      <c r="D33" s="8" t="n">
        <v>772568.25</v>
      </c>
      <c r="E33" s="8" t="n">
        <v>725000</v>
      </c>
      <c r="F33" s="86" t="n">
        <v>47568.25</v>
      </c>
      <c r="G33" s="61" t="n">
        <v>0.06560000000000001</v>
      </c>
    </row>
    <row r="34">
      <c r="A34" s="5" t="inlineStr">
        <is>
          <t>Audited case</t>
        </is>
      </c>
      <c r="B34" s="8" t="n">
        <v>37041.58</v>
      </c>
      <c r="C34" s="8" t="n">
        <v>435783.29</v>
      </c>
      <c r="D34" s="8" t="n">
        <v>422709.8</v>
      </c>
      <c r="E34" s="8" t="n">
        <v>1050100</v>
      </c>
      <c r="F34" s="76" t="n">
        <v>-627390.2</v>
      </c>
      <c r="G34" s="61" t="n">
        <v>-0.5975</v>
      </c>
    </row>
    <row r="35">
      <c r="A35" s="5" t="inlineStr">
        <is>
          <t>Cabin turnaround (T8)</t>
        </is>
      </c>
      <c r="B35" s="8" t="n">
        <v>110190.6</v>
      </c>
      <c r="C35" s="8" t="n">
        <v>1296360</v>
      </c>
      <c r="D35" s="8" t="n">
        <v>1257469.2</v>
      </c>
      <c r="E35" s="8" t="n">
        <v>871600</v>
      </c>
      <c r="F35" s="86" t="n">
        <v>385869.2</v>
      </c>
      <c r="G35" s="61" t="n">
        <v>0.4427</v>
      </c>
    </row>
    <row r="37">
      <c r="A37" s="3" t="inlineStr">
        <is>
          <t>3. VERDICTS AND CAVEATS</t>
        </is>
      </c>
    </row>
    <row r="38">
      <c r="A38" s="4" t="inlineStr">
        <is>
          <t>Case</t>
        </is>
      </c>
      <c r="B38" s="4" t="inlineStr">
        <is>
          <t>Verdict</t>
        </is>
      </c>
      <c r="C38" s="4" t="inlineStr">
        <is>
          <t>Caveat</t>
        </is>
      </c>
    </row>
    <row r="39" ht="46" customHeight="1">
      <c r="A39" s="65" t="inlineStr">
        <is>
          <t>Promoter plan</t>
        </is>
      </c>
      <c r="B39" s="75" t="inlineStr">
        <is>
          <t>UNFUNDABLE</t>
        </is>
      </c>
      <c r="C39" s="14" t="inlineStr">
        <is>
          <t>EBITDA is a re-modelling with no variable cost stack (100% gross margin) and Year-1 cash is negative. Its positive IRR is an artefact of the incomplete cost basis.</t>
        </is>
      </c>
    </row>
    <row r="40" ht="46" customHeight="1">
      <c r="A40" s="65" t="inlineStr">
        <is>
          <t>Audited case</t>
        </is>
      </c>
      <c r="B40" s="75" t="inlineStr">
        <is>
          <t>DECLINE</t>
        </is>
      </c>
      <c r="C40" s="14" t="inlineStr">
        <is>
          <t>Upside demand: 31.36% mature occupancy is 1.48x the INE Segovia average. Even this case fails the covenant.</t>
        </is>
      </c>
    </row>
    <row r="41" ht="46" customHeight="1">
      <c r="A41" s="65" t="inlineStr">
        <is>
          <t>Cabin turnaround (T8)</t>
        </is>
      </c>
      <c r="B41" s="87" t="inlineStr">
        <is>
          <t>PROCEED</t>
        </is>
      </c>
      <c r="C41" s="14" t="inlineStr">
        <is>
          <t>58% cabin occupancy is 2.7x the INE average and above the 50-55% benchmark band; the 45% stress case is published.</t>
        </is>
      </c>
    </row>
    <row r="43">
      <c r="A43" s="3" t="inlineStr">
        <is>
          <t>4. THE STORY IN FIVE ACTS</t>
        </is>
      </c>
    </row>
    <row r="44" ht="58" customHeight="1">
      <c r="A44" s="3" t="inlineStr">
        <is>
          <t>Act 1 Pitch</t>
        </is>
      </c>
      <c r="B44" s="11" t="inlineStr">
        <is>
          <t>The promoter asked for EUR 725,000 to reopen the caseron as an 8-key hotel with a 21-cover restaurant, on 19.2% occupancy and an EUR 85 ADR. The model reproduces EUR 86,275 of Year-1 revenue and EUR 11,297 of EBITDA - but with no variable cost stack and negative Year-1 cash.</t>
        </is>
      </c>
    </row>
    <row r="45" ht="58" customHeight="1">
      <c r="A45" s="3" t="inlineStr">
        <is>
          <t>Act 2 Audit</t>
        </is>
      </c>
      <c r="B45" s="11" t="inlineStr">
        <is>
          <t>A full cost stack, INE Segovia seasonality, the Segovia hospitality agreement and the 21% VAT bridge raise the all-in budget to EUR 1,050,100. The best demand case (31.36% occupancy) generates EUR 171,720 of mature revenue and a 1.15x minimum DSCR.</t>
        </is>
      </c>
    </row>
    <row r="46" ht="58" customHeight="1">
      <c r="A46" s="3" t="inlineStr">
        <is>
          <t>Act 3 Decline</t>
        </is>
      </c>
      <c r="B46" s="11" t="inlineStr">
        <is>
          <t>The credit committee declines: the Year-2 DSCR is 1.15x against a 1.25x covenant, the equity plug is EUR 521k (49.6% of all-in CapEx), the restaurant does not cover its fixed cost, and Phase II opens a EUR 252k hole.</t>
        </is>
      </c>
    </row>
    <row r="47" ht="58" customHeight="1">
      <c r="A47" s="3" t="inlineStr">
        <is>
          <t>Act 4 Turnaround</t>
        </is>
      </c>
      <c r="B47" s="11" t="inlineStr">
        <is>
          <t>Six modular cabins at EUR 93,600 installed plus the caseron as a four-bedroom lodge cut the cash envelope to EUR 621,600 (-40% versus the EUR 1,050,100 audited budget). No commercial kitchen, two FTE, EUR 358,062 of mature revenue at a 30.8% EBITDA margin and a 2.31x minimum DSCR.</t>
        </is>
      </c>
    </row>
    <row r="48" ht="58" customHeight="1">
      <c r="A48" s="3" t="inlineStr">
        <is>
          <t>Act 5 Comparison</t>
        </is>
      </c>
      <c r="B48" s="11" t="inlineStr">
        <is>
          <t>On a like-for-like 3%-cost exit at an 8.5% cap rate the T8 equity IRR is 19.0% all-in and 39.7% on cash equity, against -24.4% for the audited case. The turnaround creates EUR 385,869 of value over its all-in CapEx; the audited case destroys EUR 627,390.</t>
        </is>
      </c>
    </row>
  </sheetData>
  <mergeCells count="6">
    <mergeCell ref="A2:L2"/>
    <mergeCell ref="B44:H44"/>
    <mergeCell ref="B47:H47"/>
    <mergeCell ref="B48:H48"/>
    <mergeCell ref="B45:H45"/>
    <mergeCell ref="B46:H4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24"/>
  <sheetViews>
    <sheetView showGridLines="0" workbookViewId="0">
      <pane ySplit="4" topLeftCell="A5" activePane="bottomLeft" state="frozen"/>
      <selection pane="bottomLeft" activeCell="A1" sqref="A1"/>
    </sheetView>
  </sheetViews>
  <sheetFormatPr baseColWidth="8" defaultRowHeight="15"/>
  <cols>
    <col width="26"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s>
  <sheetData>
    <row r="1">
      <c r="A1" s="1" t="inlineStr">
        <is>
          <t>T8 SENSITIVITIES - EXIT CAP, DEMAND, LEVERAGE AND SCOPE</t>
        </is>
      </c>
    </row>
    <row r="2" ht="40" customHeight="1">
      <c r="A2" s="12" t="inlineStr">
        <is>
          <t>The base case is the good edge of the band. This tab publishes the downside: a 45% cabin occupancy or a 10% ADR cut still passes the 1.25x covenant but no longer earns a venture return. Nothing is hidden behind the base case.</t>
        </is>
      </c>
    </row>
    <row r="4">
      <c r="A4" s="3" t="inlineStr">
        <is>
          <t>1. SENSITIVITY GRID</t>
        </is>
      </c>
    </row>
    <row r="5">
      <c r="A5" s="4" t="inlineStr">
        <is>
          <t>Scenario</t>
        </is>
      </c>
      <c r="B5" s="4" t="inlineStr">
        <is>
          <t>Revenue Y3 (EUR)</t>
        </is>
      </c>
      <c r="C5" s="4" t="inlineStr">
        <is>
          <t>EBITDA Y3 (EUR)</t>
        </is>
      </c>
      <c r="D5" s="4" t="inlineStr">
        <is>
          <t>EBITDA margin</t>
        </is>
      </c>
      <c r="E5" s="4" t="inlineStr">
        <is>
          <t>Min DSCR</t>
        </is>
      </c>
      <c r="F5" s="4" t="inlineStr">
        <is>
          <t>Cash equity (EUR)</t>
        </is>
      </c>
      <c r="G5" s="4" t="inlineStr">
        <is>
          <t>Project IRR all-in</t>
        </is>
      </c>
      <c r="H5" s="4" t="inlineStr">
        <is>
          <t>Project IRR cash</t>
        </is>
      </c>
      <c r="I5" s="4" t="inlineStr">
        <is>
          <t>Equity IRR all-in</t>
        </is>
      </c>
      <c r="J5" s="4" t="inlineStr">
        <is>
          <t>Equity IRR cash</t>
        </is>
      </c>
      <c r="K5" s="4" t="inlineStr">
        <is>
          <t>Net exit value (EUR)</t>
        </is>
      </c>
    </row>
    <row r="6">
      <c r="A6" s="5" t="inlineStr">
        <is>
          <t>Base</t>
        </is>
      </c>
      <c r="B6" s="8" t="n">
        <v>358062</v>
      </c>
      <c r="C6" s="8" t="n">
        <v>110190.6</v>
      </c>
      <c r="D6" s="7" t="n">
        <v>0.3077</v>
      </c>
      <c r="E6" s="88" t="n">
        <v>2.31</v>
      </c>
      <c r="F6" s="8" t="n">
        <v>252504.82</v>
      </c>
      <c r="G6" s="7" t="n">
        <v>0.126</v>
      </c>
      <c r="H6" s="7" t="n">
        <v>0.207</v>
      </c>
      <c r="I6" s="7" t="n">
        <v>0.1895</v>
      </c>
      <c r="J6" s="7" t="n">
        <v>0.3974</v>
      </c>
      <c r="K6" s="8" t="n">
        <v>1257469.2</v>
      </c>
    </row>
    <row r="7">
      <c r="A7" s="5" t="inlineStr">
        <is>
          <t>Exit cap 9.0%</t>
        </is>
      </c>
      <c r="B7" s="8" t="n">
        <v>358062</v>
      </c>
      <c r="C7" s="8" t="n">
        <v>110190.6</v>
      </c>
      <c r="D7" s="7" t="n">
        <v>0.3077</v>
      </c>
      <c r="E7" s="88" t="n">
        <v>2.31</v>
      </c>
      <c r="F7" s="8" t="n">
        <v>252504.82</v>
      </c>
      <c r="G7" s="7" t="n">
        <v>0.1155</v>
      </c>
      <c r="H7" s="7" t="n">
        <v>0.196</v>
      </c>
      <c r="I7" s="7" t="n">
        <v>0.1733</v>
      </c>
      <c r="J7" s="7" t="n">
        <v>0.3793</v>
      </c>
      <c r="K7" s="8" t="n">
        <v>1187609.8</v>
      </c>
    </row>
    <row r="8">
      <c r="A8" s="5" t="inlineStr">
        <is>
          <t>Exit cap 9.5%</t>
        </is>
      </c>
      <c r="B8" s="8" t="n">
        <v>358062</v>
      </c>
      <c r="C8" s="8" t="n">
        <v>110190.6</v>
      </c>
      <c r="D8" s="7" t="n">
        <v>0.3077</v>
      </c>
      <c r="E8" s="88" t="n">
        <v>2.31</v>
      </c>
      <c r="F8" s="8" t="n">
        <v>252504.82</v>
      </c>
      <c r="G8" s="7" t="n">
        <v>0.1058</v>
      </c>
      <c r="H8" s="7" t="n">
        <v>0.1858</v>
      </c>
      <c r="I8" s="7" t="n">
        <v>0.1579</v>
      </c>
      <c r="J8" s="7" t="n">
        <v>0.3622</v>
      </c>
      <c r="K8" s="8" t="n">
        <v>1125104.02</v>
      </c>
    </row>
    <row r="9">
      <c r="A9" s="5" t="inlineStr">
        <is>
          <t>Exit cap 10.5%</t>
        </is>
      </c>
      <c r="B9" s="8" t="n">
        <v>358062</v>
      </c>
      <c r="C9" s="8" t="n">
        <v>110190.6</v>
      </c>
      <c r="D9" s="7" t="n">
        <v>0.3077</v>
      </c>
      <c r="E9" s="88" t="n">
        <v>2.31</v>
      </c>
      <c r="F9" s="8" t="n">
        <v>252504.82</v>
      </c>
      <c r="G9" s="7" t="n">
        <v>0.0881</v>
      </c>
      <c r="H9" s="7" t="n">
        <v>0.1672</v>
      </c>
      <c r="I9" s="7" t="n">
        <v>0.1294</v>
      </c>
      <c r="J9" s="7" t="n">
        <v>0.3304</v>
      </c>
      <c r="K9" s="8" t="n">
        <v>1017951.26</v>
      </c>
    </row>
    <row r="10">
      <c r="A10" s="5" t="inlineStr">
        <is>
          <t>ADR -10%</t>
        </is>
      </c>
      <c r="B10" s="8" t="n">
        <v>325255.8</v>
      </c>
      <c r="C10" s="8" t="n">
        <v>80583</v>
      </c>
      <c r="D10" s="7" t="n">
        <v>0.2478</v>
      </c>
      <c r="E10" s="88" t="n">
        <v>1.79</v>
      </c>
      <c r="F10" s="8" t="n">
        <v>252504.82</v>
      </c>
      <c r="G10" s="7" t="n">
        <v>0.0495</v>
      </c>
      <c r="H10" s="7" t="n">
        <v>0.1231</v>
      </c>
      <c r="I10" s="7" t="n">
        <v>0.0612</v>
      </c>
      <c r="J10" s="7" t="n">
        <v>0.2357</v>
      </c>
      <c r="K10" s="8" t="n">
        <v>919594.24</v>
      </c>
    </row>
    <row r="11">
      <c r="A11" s="5" t="inlineStr">
        <is>
          <t>ADR +10%</t>
        </is>
      </c>
      <c r="B11" s="8" t="n">
        <v>390868.2</v>
      </c>
      <c r="C11" s="8" t="n">
        <v>139798.19</v>
      </c>
      <c r="D11" s="7" t="n">
        <v>0.3577</v>
      </c>
      <c r="E11" s="88" t="n">
        <v>2.9</v>
      </c>
      <c r="F11" s="8" t="n">
        <v>252504.82</v>
      </c>
      <c r="G11" s="7" t="n">
        <v>0.1893</v>
      </c>
      <c r="H11" s="7" t="n">
        <v>0.2768</v>
      </c>
      <c r="I11" s="7" t="n">
        <v>0.2868</v>
      </c>
      <c r="J11" s="7" t="n">
        <v>0.5232</v>
      </c>
      <c r="K11" s="8" t="n">
        <v>1595344.05</v>
      </c>
    </row>
    <row r="12">
      <c r="A12" s="5" t="inlineStr">
        <is>
          <t>Occupancy 45%</t>
        </is>
      </c>
      <c r="B12" s="8" t="n">
        <v>305940</v>
      </c>
      <c r="C12" s="8" t="n">
        <v>79138.95</v>
      </c>
      <c r="D12" s="7" t="n">
        <v>0.2587</v>
      </c>
      <c r="E12" s="88" t="n">
        <v>1.79</v>
      </c>
      <c r="F12" s="8" t="n">
        <v>252504.82</v>
      </c>
      <c r="G12" s="7" t="n">
        <v>0.0458</v>
      </c>
      <c r="H12" s="7" t="n">
        <v>0.1191</v>
      </c>
      <c r="I12" s="7" t="n">
        <v>0.0545</v>
      </c>
      <c r="J12" s="7" t="n">
        <v>0.2276</v>
      </c>
      <c r="K12" s="8" t="n">
        <v>903115.08</v>
      </c>
    </row>
    <row r="13">
      <c r="A13" s="5" t="inlineStr">
        <is>
          <t>Occupancy 50%</t>
        </is>
      </c>
      <c r="B13" s="8" t="n">
        <v>336600</v>
      </c>
      <c r="C13" s="8" t="n">
        <v>96465.5</v>
      </c>
      <c r="D13" s="7" t="n">
        <v>0.2866</v>
      </c>
      <c r="E13" s="88" t="n">
        <v>2.04</v>
      </c>
      <c r="F13" s="8" t="n">
        <v>252504.82</v>
      </c>
      <c r="G13" s="7" t="n">
        <v>0.0927</v>
      </c>
      <c r="H13" s="7" t="n">
        <v>0.1704</v>
      </c>
      <c r="I13" s="7" t="n">
        <v>0.1356</v>
      </c>
      <c r="J13" s="7" t="n">
        <v>0.3289</v>
      </c>
      <c r="K13" s="8" t="n">
        <v>1100841.59</v>
      </c>
    </row>
    <row r="14">
      <c r="A14" s="5" t="inlineStr">
        <is>
          <t>Occupancy 55%</t>
        </is>
      </c>
      <c r="B14" s="8" t="n">
        <v>367260</v>
      </c>
      <c r="C14" s="8" t="n">
        <v>113792.05</v>
      </c>
      <c r="D14" s="7" t="n">
        <v>0.3098</v>
      </c>
      <c r="E14" s="88" t="n">
        <v>2.37</v>
      </c>
      <c r="F14" s="8" t="n">
        <v>252504.82</v>
      </c>
      <c r="G14" s="7" t="n">
        <v>0.134</v>
      </c>
      <c r="H14" s="7" t="n">
        <v>0.2158</v>
      </c>
      <c r="I14" s="7" t="n">
        <v>0.2021</v>
      </c>
      <c r="J14" s="7" t="n">
        <v>0.4131</v>
      </c>
      <c r="K14" s="8" t="n">
        <v>1298568.1</v>
      </c>
    </row>
    <row r="15">
      <c r="A15" s="5" t="inlineStr">
        <is>
          <t>Debt EUR 400k</t>
        </is>
      </c>
      <c r="B15" s="8" t="n">
        <v>358062</v>
      </c>
      <c r="C15" s="8" t="n">
        <v>110190.6</v>
      </c>
      <c r="D15" s="7" t="n">
        <v>0.3077</v>
      </c>
      <c r="E15" s="88" t="n">
        <v>2.58</v>
      </c>
      <c r="F15" s="8" t="n">
        <v>297959.92</v>
      </c>
      <c r="G15" s="7" t="n">
        <v>0.1272</v>
      </c>
      <c r="H15" s="7" t="n">
        <v>0.2088</v>
      </c>
      <c r="I15" s="7" t="n">
        <v>0.1801</v>
      </c>
      <c r="J15" s="7" t="n">
        <v>0.3597</v>
      </c>
      <c r="K15" s="8" t="n">
        <v>1257469.2</v>
      </c>
    </row>
    <row r="16">
      <c r="A16" s="5" t="inlineStr">
        <is>
          <t>Debt EUR 425k</t>
        </is>
      </c>
      <c r="B16" s="8" t="n">
        <v>358062</v>
      </c>
      <c r="C16" s="8" t="n">
        <v>110190.6</v>
      </c>
      <c r="D16" s="7" t="n">
        <v>0.3077</v>
      </c>
      <c r="E16" s="88" t="n">
        <v>2.44</v>
      </c>
      <c r="F16" s="8" t="n">
        <v>275232.32</v>
      </c>
      <c r="G16" s="7" t="n">
        <v>0.1266</v>
      </c>
      <c r="H16" s="7" t="n">
        <v>0.2079</v>
      </c>
      <c r="I16" s="7" t="n">
        <v>0.1846</v>
      </c>
      <c r="J16" s="7" t="n">
        <v>0.3774</v>
      </c>
      <c r="K16" s="8" t="n">
        <v>1257469.2</v>
      </c>
    </row>
    <row r="17">
      <c r="A17" s="5" t="inlineStr">
        <is>
          <t>Cabins only (no lodge)</t>
        </is>
      </c>
      <c r="B17" s="8" t="n">
        <v>296742</v>
      </c>
      <c r="C17" s="8" t="n">
        <v>79085.3</v>
      </c>
      <c r="D17" s="7" t="n">
        <v>0.2665</v>
      </c>
      <c r="E17" s="88" t="n">
        <v>1.75</v>
      </c>
      <c r="F17" s="8" t="n">
        <v>201250</v>
      </c>
      <c r="G17" s="7" t="n">
        <v>0.06279999999999999</v>
      </c>
      <c r="H17" s="7" t="n">
        <v>0.1448</v>
      </c>
      <c r="I17" s="7" t="n">
        <v>0.0801</v>
      </c>
      <c r="J17" s="7" t="n">
        <v>0.2947</v>
      </c>
      <c r="K17" s="8" t="n">
        <v>902502.84</v>
      </c>
    </row>
    <row r="19">
      <c r="A19" s="3" t="inlineStr">
        <is>
          <t>2. READING THE GRID</t>
        </is>
      </c>
    </row>
    <row r="20" ht="32" customHeight="1">
      <c r="A20" s="3" t="inlineStr">
        <is>
          <t>Exit cap</t>
        </is>
      </c>
      <c r="B20" s="11" t="inlineStr">
        <is>
          <t>9.0% -&gt; 17.3% / 37.9%; 9.5% -&gt; 15.8% / 36.2%; 10.5% -&gt; 12.9% / 33.0% (all-in / cash equity IRR).</t>
        </is>
      </c>
    </row>
    <row r="21" ht="32" customHeight="1">
      <c r="A21" s="3" t="inlineStr">
        <is>
          <t>Demand</t>
        </is>
      </c>
      <c r="B21" s="11" t="inlineStr">
        <is>
          <t>ADR -10% -&gt; 6.1% / 23.6% and 1.79x DSCR. Occupancy 45% -&gt; 5.4% / 22.8% and 1.79x. The covenant survives; the venture return does not.</t>
        </is>
      </c>
    </row>
    <row r="22" ht="32" customHeight="1">
      <c r="A22" s="3" t="inlineStr">
        <is>
          <t>Leverage</t>
        </is>
      </c>
      <c r="B22" s="11" t="inlineStr">
        <is>
          <t>EUR 400k debt -&gt; 18.0% / 36.0%; EUR 425k -&gt; 18.5% / 37.7%. Less leverage lowers the cash equity IRR but raises the all-in IRR.</t>
        </is>
      </c>
    </row>
    <row r="23" ht="32" customHeight="1">
      <c r="A23" s="3" t="inlineStr">
        <is>
          <t>Scope</t>
        </is>
      </c>
      <c r="B23" s="11" t="inlineStr">
        <is>
          <t>Cabins only (no lodge) -&gt; 8.0% all-in / 29.5% cash and 1.75x DSCR. Bankable, not attractive: the lodge is what creates the equity return.</t>
        </is>
      </c>
    </row>
    <row r="24" ht="32" customHeight="1">
      <c r="A24" s="3" t="inlineStr">
        <is>
          <t>Covenant</t>
        </is>
      </c>
      <c r="B24" s="11" t="inlineStr">
        <is>
          <t>The 1.25x floor is not the binding constraint in the base case (2.31x). The binding constraint is demand: 45% occupancy still covers debt service.</t>
        </is>
      </c>
    </row>
  </sheetData>
  <mergeCells count="6">
    <mergeCell ref="A2:L2"/>
    <mergeCell ref="B23:K23"/>
    <mergeCell ref="B22:K22"/>
    <mergeCell ref="B21:K21"/>
    <mergeCell ref="B24:K24"/>
    <mergeCell ref="B20:K20"/>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84"/>
  <sheetViews>
    <sheetView showGridLines="0" workbookViewId="0">
      <selection activeCell="A1" sqref="A1"/>
    </sheetView>
  </sheetViews>
  <sheetFormatPr baseColWidth="8" defaultRowHeight="15"/>
  <cols>
    <col width="36" customWidth="1" min="1" max="1"/>
    <col width="20" customWidth="1" min="2" max="2"/>
    <col width="14" customWidth="1" min="3" max="3"/>
    <col width="82" customWidth="1" min="4" max="4"/>
  </cols>
  <sheetData>
    <row r="1">
      <c r="A1" s="1" t="inlineStr">
        <is>
          <t>T8 INPUTS - CABIN TURNAROUND (ALL HARD-CODED ASSUMPTIONS)</t>
        </is>
      </c>
    </row>
    <row r="2">
      <c r="A2" s="2" t="inlineStr">
        <is>
          <t>Change any blue input and both T8 Debt Schedule and T8 Live Model recalculate. The base case is six 40 m2 modular cabins plus the caseron converted into a four-bedroom lodge; there is no commercial restaurant.</t>
        </is>
      </c>
    </row>
    <row r="4">
      <c r="A4" s="4" t="inlineStr">
        <is>
          <t>Input</t>
        </is>
      </c>
      <c r="B4" s="4" t="inlineStr">
        <is>
          <t>Value</t>
        </is>
      </c>
      <c r="C4" s="4" t="inlineStr">
        <is>
          <t>Unit</t>
        </is>
      </c>
      <c r="D4" s="4" t="inlineStr">
        <is>
          <t>Source / basis</t>
        </is>
      </c>
    </row>
    <row r="5">
      <c r="A5" s="5" t="inlineStr">
        <is>
          <t>Cabins</t>
        </is>
      </c>
      <c r="B5" s="19" t="n">
        <v>6</v>
      </c>
      <c r="C5" s="6" t="inlineStr">
        <is>
          <t>cabins</t>
        </is>
      </c>
      <c r="D5" s="18" t="inlineStr">
        <is>
          <t>Six modular Nordic cabins, 2 bedrooms, 35-45 m2</t>
        </is>
      </c>
    </row>
    <row r="6">
      <c r="A6" s="5" t="inlineStr">
        <is>
          <t>Cabin ADR</t>
        </is>
      </c>
      <c r="B6" s="20" t="n">
        <v>210</v>
      </c>
      <c r="C6" s="6" t="inlineStr">
        <is>
          <t>EUR/night</t>
        </is>
      </c>
      <c r="D6" s="18" t="inlineStr">
        <is>
          <t>Net ADR, no nominal uplift after stabilisation</t>
        </is>
      </c>
    </row>
    <row r="7">
      <c r="A7" s="5" t="inlineStr">
        <is>
          <t>Cabin occupancy Y1</t>
        </is>
      </c>
      <c r="B7" s="17" t="n">
        <v>0.5</v>
      </c>
      <c r="C7" s="6" t="inlineStr">
        <is>
          <t>%</t>
        </is>
      </c>
      <c r="D7" s="18" t="inlineStr">
        <is>
          <t>First operating year</t>
        </is>
      </c>
    </row>
    <row r="8">
      <c r="A8" s="5" t="inlineStr">
        <is>
          <t>Cabin occupancy Y2</t>
        </is>
      </c>
      <c r="B8" s="17" t="n">
        <v>0.5600000000000001</v>
      </c>
      <c r="C8" s="6" t="inlineStr">
        <is>
          <t>%</t>
        </is>
      </c>
      <c r="D8" s="18" t="inlineStr">
        <is>
          <t>Ramp year</t>
        </is>
      </c>
    </row>
    <row r="9">
      <c r="A9" s="5" t="inlineStr">
        <is>
          <t>Cabin occupancy Y3</t>
        </is>
      </c>
      <c r="B9" s="17" t="n">
        <v>0.58</v>
      </c>
      <c r="C9" s="6" t="inlineStr">
        <is>
          <t>%</t>
        </is>
      </c>
      <c r="D9" s="18" t="inlineStr">
        <is>
          <t>Stabilised</t>
        </is>
      </c>
    </row>
    <row r="10">
      <c r="A10" s="5" t="inlineStr">
        <is>
          <t>Cabin occupancy Y4</t>
        </is>
      </c>
      <c r="B10" s="17" t="n">
        <v>0.58</v>
      </c>
      <c r="C10" s="6" t="inlineStr">
        <is>
          <t>%</t>
        </is>
      </c>
      <c r="D10" s="18" t="inlineStr">
        <is>
          <t>Stabilised</t>
        </is>
      </c>
    </row>
    <row r="11">
      <c r="A11" s="5" t="inlineStr">
        <is>
          <t>Cabin occupancy Y5</t>
        </is>
      </c>
      <c r="B11" s="17" t="n">
        <v>0.58</v>
      </c>
      <c r="C11" s="6" t="inlineStr">
        <is>
          <t>%</t>
        </is>
      </c>
      <c r="D11" s="18" t="inlineStr">
        <is>
          <t>Stabilised</t>
        </is>
      </c>
    </row>
    <row r="12">
      <c r="A12" s="5" t="inlineStr">
        <is>
          <t>Lodge enabled</t>
        </is>
      </c>
      <c r="B12" s="19" t="n">
        <v>1</v>
      </c>
      <c r="C12" s="6" t="inlineStr">
        <is>
          <t>0/1</t>
        </is>
      </c>
      <c r="D12" s="18" t="inlineStr">
        <is>
          <t>Caserón converted into one four-bedroom lodge</t>
        </is>
      </c>
    </row>
    <row r="13">
      <c r="A13" s="5" t="inlineStr">
        <is>
          <t>Lodge ADR</t>
        </is>
      </c>
      <c r="B13" s="20" t="n">
        <v>420</v>
      </c>
      <c r="C13" s="6" t="inlineStr">
        <is>
          <t>EUR/night</t>
        </is>
      </c>
      <c r="D13" s="18" t="inlineStr">
        <is>
          <t>Whole-lodge nightly rate</t>
        </is>
      </c>
    </row>
    <row r="14">
      <c r="A14" s="5" t="inlineStr">
        <is>
          <t>Lodge occupancy Y1</t>
        </is>
      </c>
      <c r="B14" s="17" t="n">
        <v>0.32</v>
      </c>
      <c r="C14" s="6" t="inlineStr">
        <is>
          <t>%</t>
        </is>
      </c>
      <c r="D14" s="18" t="inlineStr">
        <is>
          <t>First operating year</t>
        </is>
      </c>
    </row>
    <row r="15">
      <c r="A15" s="5" t="inlineStr">
        <is>
          <t>Lodge occupancy Y2</t>
        </is>
      </c>
      <c r="B15" s="17" t="n">
        <v>0.38</v>
      </c>
      <c r="C15" s="6" t="inlineStr">
        <is>
          <t>%</t>
        </is>
      </c>
      <c r="D15" s="18" t="inlineStr">
        <is>
          <t>Ramp year</t>
        </is>
      </c>
    </row>
    <row r="16">
      <c r="A16" s="5" t="inlineStr">
        <is>
          <t>Lodge occupancy Y3</t>
        </is>
      </c>
      <c r="B16" s="17" t="n">
        <v>0.4</v>
      </c>
      <c r="C16" s="6" t="inlineStr">
        <is>
          <t>%</t>
        </is>
      </c>
      <c r="D16" s="18" t="inlineStr">
        <is>
          <t>Stabilised</t>
        </is>
      </c>
    </row>
    <row r="17">
      <c r="A17" s="5" t="inlineStr">
        <is>
          <t>Lodge occupancy Y4</t>
        </is>
      </c>
      <c r="B17" s="17" t="n">
        <v>0.4</v>
      </c>
      <c r="C17" s="6" t="inlineStr">
        <is>
          <t>%</t>
        </is>
      </c>
      <c r="D17" s="18" t="inlineStr">
        <is>
          <t>Stabilised</t>
        </is>
      </c>
    </row>
    <row r="18">
      <c r="A18" s="5" t="inlineStr">
        <is>
          <t>Lodge occupancy Y5</t>
        </is>
      </c>
      <c r="B18" s="17" t="n">
        <v>0.4</v>
      </c>
      <c r="C18" s="6" t="inlineStr">
        <is>
          <t>%</t>
        </is>
      </c>
      <c r="D18" s="18" t="inlineStr">
        <is>
          <t>Stabilised</t>
        </is>
      </c>
    </row>
    <row r="19">
      <c r="A19" s="5" t="inlineStr">
        <is>
          <t>Guests per cabin night</t>
        </is>
      </c>
      <c r="B19" s="19" t="n">
        <v>2.4</v>
      </c>
      <c r="C19" s="6" t="inlineStr">
        <is>
          <t>guests</t>
        </is>
      </c>
      <c r="D19" s="18" t="inlineStr">
        <is>
          <t>2.4 guests per occupied cabin night</t>
        </is>
      </c>
    </row>
    <row r="20">
      <c r="A20" s="5" t="inlineStr">
        <is>
          <t>Guests per lodge night</t>
        </is>
      </c>
      <c r="B20" s="19" t="n">
        <v>8</v>
      </c>
      <c r="C20" s="6" t="inlineStr">
        <is>
          <t>guests</t>
        </is>
      </c>
      <c r="D20" s="18" t="inlineStr">
        <is>
          <t>Full house, 8 guests</t>
        </is>
      </c>
    </row>
    <row r="21">
      <c r="A21" s="5" t="inlineStr">
        <is>
          <t>Housekeeping, cabin</t>
        </is>
      </c>
      <c r="B21" s="20" t="n">
        <v>25</v>
      </c>
      <c r="C21" s="6" t="inlineStr">
        <is>
          <t>EUR/night</t>
        </is>
      </c>
      <c r="D21" s="18" t="inlineStr">
        <is>
          <t>Cleaning and linen</t>
        </is>
      </c>
    </row>
    <row r="22">
      <c r="A22" s="5" t="inlineStr">
        <is>
          <t>Housekeeping, lodge</t>
        </is>
      </c>
      <c r="B22" s="20" t="n">
        <v>45</v>
      </c>
      <c r="C22" s="6" t="inlineStr">
        <is>
          <t>EUR/night</t>
        </is>
      </c>
      <c r="D22" s="18" t="inlineStr">
        <is>
          <t>Cleaning and linen</t>
        </is>
      </c>
    </row>
    <row r="23">
      <c r="A23" s="5" t="inlineStr">
        <is>
          <t>Energy, cabin</t>
        </is>
      </c>
      <c r="B23" s="20" t="n">
        <v>8</v>
      </c>
      <c r="C23" s="6" t="inlineStr">
        <is>
          <t>EUR/night</t>
        </is>
      </c>
      <c r="D23" s="18" t="inlineStr">
        <is>
          <t>Variable utilities only</t>
        </is>
      </c>
    </row>
    <row r="24">
      <c r="A24" s="5" t="inlineStr">
        <is>
          <t>Energy, lodge</t>
        </is>
      </c>
      <c r="B24" s="20" t="n">
        <v>15</v>
      </c>
      <c r="C24" s="6" t="inlineStr">
        <is>
          <t>EUR/night</t>
        </is>
      </c>
      <c r="D24" s="18" t="inlineStr">
        <is>
          <t>Variable utilities only</t>
        </is>
      </c>
    </row>
    <row r="25">
      <c r="A25" s="5" t="inlineStr">
        <is>
          <t>Consumables, cabin</t>
        </is>
      </c>
      <c r="B25" s="20" t="n">
        <v>5</v>
      </c>
      <c r="C25" s="6" t="inlineStr">
        <is>
          <t>EUR/night</t>
        </is>
      </c>
      <c r="D25" s="18" t="inlineStr">
        <is>
          <t>Amenities and supplies</t>
        </is>
      </c>
    </row>
    <row r="26">
      <c r="A26" s="5" t="inlineStr">
        <is>
          <t>Consumables, lodge</t>
        </is>
      </c>
      <c r="B26" s="20" t="n">
        <v>10</v>
      </c>
      <c r="C26" s="6" t="inlineStr">
        <is>
          <t>EUR/night</t>
        </is>
      </c>
      <c r="D26" s="18" t="inlineStr">
        <is>
          <t>Amenities and supplies</t>
        </is>
      </c>
    </row>
    <row r="27">
      <c r="A27" s="5" t="inlineStr">
        <is>
          <t>Breakfast per guest-day</t>
        </is>
      </c>
      <c r="B27" s="20" t="n">
        <v>12</v>
      </c>
      <c r="C27" s="6" t="inlineStr">
        <is>
          <t>EUR/guest-day</t>
        </is>
      </c>
      <c r="D27" s="18" t="inlineStr">
        <is>
          <t>Breakfast basket, no kitchen brigade</t>
        </is>
      </c>
    </row>
    <row r="28">
      <c r="A28" s="5" t="inlineStr">
        <is>
          <t>OTA share</t>
        </is>
      </c>
      <c r="B28" s="17" t="n">
        <v>0.55</v>
      </c>
      <c r="C28" s="6" t="inlineStr">
        <is>
          <t>%</t>
        </is>
      </c>
      <c r="D28" s="18" t="inlineStr">
        <is>
          <t>55% of lodging sold through OTAs</t>
        </is>
      </c>
    </row>
    <row r="29">
      <c r="A29" s="5" t="inlineStr">
        <is>
          <t>OTA commission</t>
        </is>
      </c>
      <c r="B29" s="17" t="n">
        <v>0.15</v>
      </c>
      <c r="C29" s="6" t="inlineStr">
        <is>
          <t>%</t>
        </is>
      </c>
      <c r="D29" s="18" t="inlineStr">
        <is>
          <t>15% on OTA bookings</t>
        </is>
      </c>
    </row>
    <row r="30">
      <c r="A30" s="5" t="inlineStr">
        <is>
          <t>Payment fee</t>
        </is>
      </c>
      <c r="B30" s="17" t="n">
        <v>0.015</v>
      </c>
      <c r="C30" s="6" t="inlineStr">
        <is>
          <t>%</t>
        </is>
      </c>
      <c r="D30" s="18" t="inlineStr">
        <is>
          <t>Card and payment-gateway fees</t>
        </is>
      </c>
    </row>
    <row r="31">
      <c r="A31" s="5" t="inlineStr">
        <is>
          <t>Annual payroll</t>
        </is>
      </c>
      <c r="B31" s="20" t="n">
        <v>60950</v>
      </c>
      <c r="C31" s="6" t="inlineStr">
        <is>
          <t>EUR</t>
        </is>
      </c>
      <c r="D31" s="18" t="inlineStr">
        <is>
          <t>2.0 FTE x EUR 23,000 gross + 32.5% employer SS</t>
        </is>
      </c>
    </row>
    <row r="32">
      <c r="A32" s="5" t="inlineStr">
        <is>
          <t>Fixed operating expenses</t>
        </is>
      </c>
      <c r="B32" s="20" t="n">
        <v>37000</v>
      </c>
      <c r="C32" s="6" t="inlineStr">
        <is>
          <t>EUR</t>
        </is>
      </c>
      <c r="D32" s="18" t="inlineStr">
        <is>
          <t>Maintenance, insurance, utilities, marketing, PMS, admin</t>
        </is>
      </c>
    </row>
    <row r="33">
      <c r="A33" s="5" t="inlineStr">
        <is>
          <t>FF&amp;E reserve</t>
        </is>
      </c>
      <c r="B33" s="17" t="n">
        <v>0.035</v>
      </c>
      <c r="C33" s="6" t="inlineStr">
        <is>
          <t>%</t>
        </is>
      </c>
      <c r="D33" s="18" t="inlineStr">
        <is>
          <t>3.5% of revenue</t>
        </is>
      </c>
    </row>
    <row r="34">
      <c r="A34" s="5" t="inlineStr">
        <is>
          <t>Experiences revenue Y1</t>
        </is>
      </c>
      <c r="B34" s="20" t="n">
        <v>25000</v>
      </c>
      <c r="C34" s="6" t="inlineStr">
        <is>
          <t>EUR</t>
        </is>
      </c>
      <c r="D34" s="18" t="inlineStr">
        <is>
          <t>Guided walks, tastings and local partnerships</t>
        </is>
      </c>
    </row>
    <row r="35">
      <c r="A35" s="5" t="inlineStr">
        <is>
          <t>Experiences revenue Y2</t>
        </is>
      </c>
      <c r="B35" s="20" t="n">
        <v>30000</v>
      </c>
      <c r="C35" s="6" t="inlineStr">
        <is>
          <t>EUR</t>
        </is>
      </c>
      <c r="D35" s="18" t="inlineStr">
        <is>
          <t>Ramp year</t>
        </is>
      </c>
    </row>
    <row r="36">
      <c r="A36" s="5" t="inlineStr">
        <is>
          <t>Experiences revenue Y3</t>
        </is>
      </c>
      <c r="B36" s="20" t="n">
        <v>30000</v>
      </c>
      <c r="C36" s="6" t="inlineStr">
        <is>
          <t>EUR</t>
        </is>
      </c>
      <c r="D36" s="18" t="inlineStr">
        <is>
          <t>Stabilised</t>
        </is>
      </c>
    </row>
    <row r="37">
      <c r="A37" s="5" t="inlineStr">
        <is>
          <t>Experiences revenue Y4</t>
        </is>
      </c>
      <c r="B37" s="20" t="n">
        <v>30000</v>
      </c>
      <c r="C37" s="6" t="inlineStr">
        <is>
          <t>EUR</t>
        </is>
      </c>
      <c r="D37" s="18" t="inlineStr">
        <is>
          <t>Stabilised</t>
        </is>
      </c>
    </row>
    <row r="38">
      <c r="A38" s="5" t="inlineStr">
        <is>
          <t>Experiences revenue Y5</t>
        </is>
      </c>
      <c r="B38" s="20" t="n">
        <v>30000</v>
      </c>
      <c r="C38" s="6" t="inlineStr">
        <is>
          <t>EUR</t>
        </is>
      </c>
      <c r="D38" s="18" t="inlineStr">
        <is>
          <t>Stabilised</t>
        </is>
      </c>
    </row>
    <row r="39">
      <c r="A39" s="5" t="inlineStr">
        <is>
          <t>Experience margin</t>
        </is>
      </c>
      <c r="B39" s="17" t="n">
        <v>0.72</v>
      </c>
      <c r="C39" s="6" t="inlineStr">
        <is>
          <t>%</t>
        </is>
      </c>
      <c r="D39" s="18" t="inlineStr">
        <is>
          <t>72% contribution margin</t>
        </is>
      </c>
    </row>
    <row r="40">
      <c r="A40" s="5" t="inlineStr">
        <is>
          <t>Corporate tax rate</t>
        </is>
      </c>
      <c r="B40" s="17" t="n">
        <v>0.25</v>
      </c>
      <c r="C40" s="6" t="inlineStr">
        <is>
          <t>%</t>
        </is>
      </c>
      <c r="D40" s="18" t="inlineStr">
        <is>
          <t>Ley 27/2014, with BIN carry-forward</t>
        </is>
      </c>
    </row>
    <row r="41">
      <c r="A41" s="5" t="inlineStr">
        <is>
          <t>Cash CapEx (net of VAT)</t>
        </is>
      </c>
      <c r="B41" s="20" t="n">
        <v>621600</v>
      </c>
      <c r="C41" s="6" t="inlineStr">
        <is>
          <t>EUR</t>
        </is>
      </c>
      <c r="D41" s="18" t="inlineStr">
        <is>
          <t>Works 560k + fees 33.6k + contingency 28k</t>
        </is>
      </c>
    </row>
    <row r="42">
      <c r="A42" s="5" t="inlineStr">
        <is>
          <t>Land contributed in kind</t>
        </is>
      </c>
      <c r="B42" s="20" t="n">
        <v>250000</v>
      </c>
      <c r="C42" s="6" t="inlineStr">
        <is>
          <t>EUR</t>
        </is>
      </c>
      <c r="D42" s="18" t="inlineStr">
        <is>
          <t>25-ha estate at opportunity value</t>
        </is>
      </c>
    </row>
    <row r="43">
      <c r="A43" s="5" t="inlineStr">
        <is>
          <t>All-in CapEx</t>
        </is>
      </c>
      <c r="B43" s="20" t="n">
        <v>871600</v>
      </c>
      <c r="C43" s="6" t="inlineStr">
        <is>
          <t>EUR</t>
        </is>
      </c>
      <c r="D43" s="18" t="inlineStr">
        <is>
          <t>Cash CapEx + land</t>
        </is>
      </c>
    </row>
    <row r="44">
      <c r="A44" s="5" t="inlineStr">
        <is>
          <t>Annual PP&amp;E depreciation</t>
        </is>
      </c>
      <c r="B44" s="20" t="n">
        <v>29948</v>
      </c>
      <c r="C44" s="6" t="inlineStr">
        <is>
          <t>EUR</t>
        </is>
      </c>
      <c r="D44" s="18" t="inlineStr">
        <is>
          <t>Fiscal tables; land excluded</t>
        </is>
      </c>
    </row>
    <row r="45">
      <c r="A45" s="5" t="inlineStr">
        <is>
          <t>Pre-opening costs</t>
        </is>
      </c>
      <c r="B45" s="20" t="n">
        <v>25000</v>
      </c>
      <c r="C45" s="6" t="inlineStr">
        <is>
          <t>EUR</t>
        </is>
      </c>
      <c r="D45" s="18" t="inlineStr">
        <is>
          <t>Capitalised and amortised over five years</t>
        </is>
      </c>
    </row>
    <row r="46">
      <c r="A46" s="5" t="inlineStr">
        <is>
          <t>Pre-opening amortisation years</t>
        </is>
      </c>
      <c r="B46" s="19" t="n">
        <v>5</v>
      </c>
      <c r="C46" s="6" t="inlineStr">
        <is>
          <t>years</t>
        </is>
      </c>
      <c r="D46" s="18" t="inlineStr">
        <is>
          <t>Straight line</t>
        </is>
      </c>
    </row>
    <row r="47">
      <c r="A47" s="5" t="inlineStr">
        <is>
          <t>Arrangement fee</t>
        </is>
      </c>
      <c r="B47" s="20" t="n">
        <v>4500</v>
      </c>
      <c r="C47" s="6" t="inlineStr">
        <is>
          <t>EUR</t>
        </is>
      </c>
      <c r="D47" s="18" t="inlineStr">
        <is>
          <t>1% of the EUR 450k facility, capitalised</t>
        </is>
      </c>
    </row>
    <row r="48">
      <c r="A48" s="5" t="inlineStr">
        <is>
          <t>Senior debt principal</t>
        </is>
      </c>
      <c r="B48" s="20" t="n">
        <v>450000</v>
      </c>
      <c r="C48" s="6" t="inlineStr">
        <is>
          <t>EUR</t>
        </is>
      </c>
      <c r="D48" s="18" t="inlineStr">
        <is>
          <t>EUR 450k facility</t>
        </is>
      </c>
    </row>
    <row r="49">
      <c r="A49" s="5" t="inlineStr">
        <is>
          <t>Senior interest rate</t>
        </is>
      </c>
      <c r="B49" s="17" t="n">
        <v>0.0425</v>
      </c>
      <c r="C49" s="6" t="inlineStr">
        <is>
          <t>%</t>
        </is>
      </c>
      <c r="D49" s="18" t="inlineStr">
        <is>
          <t>Fixed 4.25%</t>
        </is>
      </c>
    </row>
    <row r="50">
      <c r="A50" s="5" t="inlineStr">
        <is>
          <t>Loan tenure</t>
        </is>
      </c>
      <c r="B50" s="19" t="n">
        <v>20</v>
      </c>
      <c r="C50" s="6" t="inlineStr">
        <is>
          <t>years</t>
        </is>
      </c>
      <c r="D50" s="18" t="inlineStr">
        <is>
          <t>20 years</t>
        </is>
      </c>
    </row>
    <row r="51">
      <c r="A51" s="5" t="inlineStr">
        <is>
          <t>Grace period</t>
        </is>
      </c>
      <c r="B51" s="19" t="n">
        <v>12</v>
      </c>
      <c r="C51" s="6" t="inlineStr">
        <is>
          <t>months</t>
        </is>
      </c>
      <c r="D51" s="18" t="inlineStr">
        <is>
          <t>12-month interest-only grace</t>
        </is>
      </c>
    </row>
    <row r="52">
      <c r="A52" s="5" t="inlineStr">
        <is>
          <t>Interest during construction (IDC)</t>
        </is>
      </c>
      <c r="B52" s="20" t="n">
        <v>19125</v>
      </c>
      <c r="C52" s="6" t="inlineStr">
        <is>
          <t>EUR</t>
        </is>
      </c>
      <c r="D52" s="18" t="inlineStr">
        <is>
          <t>12 construction months, paid at close</t>
        </is>
      </c>
    </row>
    <row r="53">
      <c r="A53" s="5" t="inlineStr">
        <is>
          <t>Input VAT (bridge-funded)</t>
        </is>
      </c>
      <c r="B53" s="20" t="n">
        <v>130536</v>
      </c>
      <c r="C53" s="6" t="inlineStr">
        <is>
          <t>EUR</t>
        </is>
      </c>
      <c r="D53" s="18" t="inlineStr">
        <is>
          <t>21% on non-land CapEx; refunded by AEAT</t>
        </is>
      </c>
    </row>
    <row r="54">
      <c r="A54" s="5" t="inlineStr">
        <is>
          <t>VAT bridge interest rate</t>
        </is>
      </c>
      <c r="B54" s="17" t="n">
        <v>0.055</v>
      </c>
      <c r="C54" s="6" t="inlineStr">
        <is>
          <t>%</t>
        </is>
      </c>
      <c r="D54" s="18" t="inlineStr">
        <is>
          <t>5.5% on the drawn bridge</t>
        </is>
      </c>
    </row>
    <row r="55">
      <c r="A55" s="5" t="inlineStr">
        <is>
          <t>Target DSCR</t>
        </is>
      </c>
      <c r="B55" s="21" t="n">
        <v>1.25</v>
      </c>
      <c r="C55" s="6" t="inlineStr">
        <is>
          <t>x</t>
        </is>
      </c>
      <c r="D55" s="18" t="inlineStr">
        <is>
          <t>Bank covenant floor</t>
        </is>
      </c>
    </row>
    <row r="56">
      <c r="A56" s="5" t="inlineStr">
        <is>
          <t>Initial working capital</t>
        </is>
      </c>
      <c r="B56" s="20" t="n">
        <v>15000</v>
      </c>
      <c r="C56" s="6" t="inlineStr">
        <is>
          <t>EUR</t>
        </is>
      </c>
      <c r="D56" s="18" t="inlineStr">
        <is>
          <t>Opening cash</t>
        </is>
      </c>
    </row>
    <row r="57">
      <c r="A57" s="5" t="inlineStr">
        <is>
          <t>DSRA</t>
        </is>
      </c>
      <c r="B57" s="20" t="n">
        <v>17279.82</v>
      </c>
      <c r="C57" s="6" t="inlineStr">
        <is>
          <t>EUR</t>
        </is>
      </c>
      <c r="D57" s="18" t="inlineStr">
        <is>
          <t>Six months of maximum annual debt service</t>
        </is>
      </c>
    </row>
    <row r="58">
      <c r="A58" s="5" t="inlineStr">
        <is>
          <t>Cash equity (plug)</t>
        </is>
      </c>
      <c r="B58" s="20" t="n">
        <v>252504.82</v>
      </c>
      <c r="C58" s="6" t="inlineStr">
        <is>
          <t>EUR</t>
        </is>
      </c>
      <c r="D58" s="18" t="inlineStr">
        <is>
          <t>Closes the structure; 40.6% of cash CapEx</t>
        </is>
      </c>
    </row>
    <row r="59">
      <c r="A59" s="5" t="inlineStr">
        <is>
          <t>Total equity at close</t>
        </is>
      </c>
      <c r="B59" s="20" t="n">
        <v>502504.82</v>
      </c>
      <c r="C59" s="6" t="inlineStr">
        <is>
          <t>EUR</t>
        </is>
      </c>
      <c r="D59" s="18" t="inlineStr">
        <is>
          <t>Cash equity + land in kind</t>
        </is>
      </c>
    </row>
    <row r="60">
      <c r="A60" s="5" t="inlineStr">
        <is>
          <t>Exit cap rate</t>
        </is>
      </c>
      <c r="B60" s="17" t="n">
        <v>0.08500000000000001</v>
      </c>
      <c r="C60" s="6" t="inlineStr">
        <is>
          <t>%</t>
        </is>
      </c>
      <c r="D60" s="18" t="inlineStr">
        <is>
          <t>8.5% on exit-year EBITDA</t>
        </is>
      </c>
    </row>
    <row r="61">
      <c r="A61" s="5" t="inlineStr">
        <is>
          <t>Exit cost rate</t>
        </is>
      </c>
      <c r="B61" s="17" t="n">
        <v>0.03</v>
      </c>
      <c r="C61" s="6" t="inlineStr">
        <is>
          <t>%</t>
        </is>
      </c>
      <c r="D61" s="18" t="inlineStr">
        <is>
          <t>3% selling costs</t>
        </is>
      </c>
    </row>
    <row r="62">
      <c r="A62" s="5" t="inlineStr">
        <is>
          <t>Discount rate</t>
        </is>
      </c>
      <c r="B62" s="17" t="n">
        <v>0.09</v>
      </c>
      <c r="C62" s="6" t="inlineStr">
        <is>
          <t>%</t>
        </is>
      </c>
      <c r="D62" s="18" t="inlineStr">
        <is>
          <t>9% cost of capital</t>
        </is>
      </c>
    </row>
    <row r="65">
      <c r="A65" s="3" t="inlineStr">
        <is>
          <t>SOURCES &amp; USES AT CLOSE (LIVE)</t>
        </is>
      </c>
    </row>
    <row r="66">
      <c r="A66" s="4" t="inlineStr">
        <is>
          <t>Use of funds</t>
        </is>
      </c>
      <c r="B66" s="4" t="inlineStr">
        <is>
          <t>EUR</t>
        </is>
      </c>
    </row>
    <row r="67">
      <c r="A67" s="6" t="inlineStr">
        <is>
          <t>Cash Capex</t>
        </is>
      </c>
      <c r="B67" s="25" t="n">
        <v>621600</v>
      </c>
    </row>
    <row r="68">
      <c r="A68" s="6" t="inlineStr">
        <is>
          <t>Idc</t>
        </is>
      </c>
      <c r="B68" s="25" t="n">
        <v>19125</v>
      </c>
    </row>
    <row r="69">
      <c r="A69" s="6" t="inlineStr">
        <is>
          <t>Arrangement Fee</t>
        </is>
      </c>
      <c r="B69" s="25" t="n">
        <v>4500</v>
      </c>
    </row>
    <row r="70">
      <c r="A70" s="6" t="inlineStr">
        <is>
          <t>Input Vat Bridge</t>
        </is>
      </c>
      <c r="B70" s="25" t="n">
        <v>130536</v>
      </c>
    </row>
    <row r="71">
      <c r="A71" s="6" t="inlineStr">
        <is>
          <t>Pre Opening</t>
        </is>
      </c>
      <c r="B71" s="25" t="n">
        <v>25000</v>
      </c>
    </row>
    <row r="72">
      <c r="A72" s="6" t="inlineStr">
        <is>
          <t>Working Capital</t>
        </is>
      </c>
      <c r="B72" s="25" t="n">
        <v>15000</v>
      </c>
    </row>
    <row r="73">
      <c r="A73" s="6" t="inlineStr">
        <is>
          <t>Dsra</t>
        </is>
      </c>
      <c r="B73" s="25" t="n">
        <v>17279.82</v>
      </c>
    </row>
    <row r="74">
      <c r="A74" s="5" t="inlineStr">
        <is>
          <t>Total uses</t>
        </is>
      </c>
      <c r="B74" s="29" t="n">
        <v>833040.8199999999</v>
      </c>
    </row>
    <row r="76">
      <c r="A76" s="3" t="inlineStr">
        <is>
          <t>SOURCES AT CLOSE (LIVE)</t>
        </is>
      </c>
    </row>
    <row r="77">
      <c r="A77" s="4" t="inlineStr">
        <is>
          <t>Source</t>
        </is>
      </c>
      <c r="B77" s="4" t="inlineStr">
        <is>
          <t>EUR</t>
        </is>
      </c>
    </row>
    <row r="78">
      <c r="A78" s="6" t="inlineStr">
        <is>
          <t>Senior Debt</t>
        </is>
      </c>
      <c r="B78" s="25" t="n">
        <v>450000</v>
      </c>
    </row>
    <row r="79">
      <c r="A79" s="6" t="inlineStr">
        <is>
          <t>Vat Bridge</t>
        </is>
      </c>
      <c r="B79" s="25" t="n">
        <v>130536</v>
      </c>
    </row>
    <row r="80">
      <c r="A80" s="6" t="inlineStr">
        <is>
          <t>Cash Equity</t>
        </is>
      </c>
      <c r="B80" s="25" t="n">
        <v>252504.82</v>
      </c>
    </row>
    <row r="81">
      <c r="A81" s="6" t="inlineStr">
        <is>
          <t>Land In Kind</t>
        </is>
      </c>
      <c r="B81" s="25" t="n">
        <v>250000</v>
      </c>
    </row>
    <row r="82">
      <c r="A82" s="5" t="inlineStr">
        <is>
          <t>Total sources</t>
        </is>
      </c>
      <c r="B82" s="29" t="n">
        <v>1083040.82</v>
      </c>
    </row>
    <row r="84">
      <c r="A84" s="5" t="inlineStr">
        <is>
          <t>Cash sources minus cash uses</t>
        </is>
      </c>
      <c r="B84" s="29" t="n">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263"/>
  <sheetViews>
    <sheetView showGridLines="0" workbookViewId="0">
      <pane ySplit="23" topLeftCell="A24" activePane="bottomLeft" state="frozen"/>
      <selection pane="bottomLeft"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T8 SENIOR DEBT - EUR 450,000, 4.25% FIXED, 20 YEARS, 12-MONTH GRACE</t>
        </is>
      </c>
    </row>
    <row r="2">
      <c r="A2" s="2" t="inlineStr">
        <is>
          <t>The French payment is computed over the 228 months that remain after the grace period. Each monthly payment is rounded to two decimals, matching the Python debt engine.</t>
        </is>
      </c>
    </row>
    <row r="4">
      <c r="A4" s="5" t="inlineStr">
        <is>
          <t>Principal</t>
        </is>
      </c>
      <c r="B4" s="41">
        <f>'T8 Inputs'!$B$48</f>
        <v/>
      </c>
    </row>
    <row r="5">
      <c r="A5" s="5" t="inlineStr">
        <is>
          <t>Annual interest rate</t>
        </is>
      </c>
      <c r="B5" s="42">
        <f>'T8 Inputs'!$B$49</f>
        <v/>
      </c>
    </row>
    <row r="6">
      <c r="A6" s="5" t="inlineStr">
        <is>
          <t>Tenure (years)</t>
        </is>
      </c>
      <c r="B6" s="43">
        <f>'T8 Inputs'!$B$50</f>
        <v/>
      </c>
    </row>
    <row r="7">
      <c r="A7" s="5" t="inlineStr">
        <is>
          <t>Grace (months)</t>
        </is>
      </c>
      <c r="B7" s="43">
        <f>'T8 Inputs'!$B$51</f>
        <v/>
      </c>
    </row>
    <row r="8">
      <c r="A8" s="5" t="inlineStr">
        <is>
          <t>Monthly rate</t>
        </is>
      </c>
      <c r="B8" s="44">
        <f>B5/12</f>
        <v/>
      </c>
    </row>
    <row r="9">
      <c r="A9" s="5" t="inlineStr">
        <is>
          <t>Amortisation months</t>
        </is>
      </c>
      <c r="B9" s="43">
        <f>B6*12-B7</f>
        <v/>
      </c>
    </row>
    <row r="10">
      <c r="A10" s="5" t="inlineStr">
        <is>
          <t>Monthly payment</t>
        </is>
      </c>
      <c r="B10" s="41">
        <f>IF(B8&gt;0,B4*B8*(1+B8)^B9/((1+B8)^B9-1),B4/B9)</f>
        <v/>
      </c>
    </row>
    <row r="11">
      <c r="A11" s="5" t="inlineStr">
        <is>
          <t>Annual service (Year 2+)</t>
        </is>
      </c>
      <c r="B11" s="41">
        <f>ROUND(B10,2)*12</f>
        <v/>
      </c>
    </row>
    <row r="12">
      <c r="A12" s="5" t="inlineStr">
        <is>
          <t>Total months</t>
        </is>
      </c>
      <c r="B12" s="43">
        <f>B6*12</f>
        <v/>
      </c>
    </row>
    <row r="14">
      <c r="A14" s="3" t="inlineStr">
        <is>
          <t>ANNUAL SUMMARY (SUMIF OF THE MONTHLY SCHEDULE)</t>
        </is>
      </c>
    </row>
    <row r="15">
      <c r="A15" s="4" t="inlineStr">
        <is>
          <t>Year</t>
        </is>
      </c>
      <c r="B15" s="4" t="inlineStr">
        <is>
          <t>Beginning balance</t>
        </is>
      </c>
      <c r="C15" s="4" t="inlineStr">
        <is>
          <t>Payment</t>
        </is>
      </c>
      <c r="D15" s="4" t="inlineStr">
        <is>
          <t>Principal</t>
        </is>
      </c>
      <c r="E15" s="4" t="inlineStr">
        <is>
          <t>Interest</t>
        </is>
      </c>
      <c r="F15" s="4" t="inlineStr">
        <is>
          <t>Ending balance</t>
        </is>
      </c>
      <c r="G15" s="4" t="inlineStr">
        <is>
          <t>Short-term debt</t>
        </is>
      </c>
      <c r="H15" s="4" t="inlineStr">
        <is>
          <t>Long-term debt</t>
        </is>
      </c>
    </row>
    <row r="16">
      <c r="A16" s="45" t="n">
        <v>1</v>
      </c>
      <c r="B16" s="8">
        <f>$B$4</f>
        <v/>
      </c>
      <c r="C16" s="8">
        <f>SUMIF($B$24:$B$263,$A16,$D$24:$D$263)</f>
        <v/>
      </c>
      <c r="D16" s="8">
        <f>SUMIF($B$24:$B$263,$A16,$E$24:$E$263)</f>
        <v/>
      </c>
      <c r="E16" s="8">
        <f>SUMIF($B$24:$B$263,$A16,$F$24:$F$263)</f>
        <v/>
      </c>
      <c r="F16" s="8">
        <f>B16-D16</f>
        <v/>
      </c>
      <c r="G16" s="8">
        <f>SUMIF($B$24:$B$263,$A16+1,$E$24:$E$263)</f>
        <v/>
      </c>
      <c r="H16" s="8">
        <f>MAX(0,F16-G16)</f>
        <v/>
      </c>
    </row>
    <row r="17">
      <c r="A17" s="45" t="n">
        <v>2</v>
      </c>
      <c r="B17" s="8">
        <f>F16</f>
        <v/>
      </c>
      <c r="C17" s="8">
        <f>SUMIF($B$24:$B$263,$A17,$D$24:$D$263)</f>
        <v/>
      </c>
      <c r="D17" s="8">
        <f>SUMIF($B$24:$B$263,$A17,$E$24:$E$263)</f>
        <v/>
      </c>
      <c r="E17" s="8">
        <f>SUMIF($B$24:$B$263,$A17,$F$24:$F$263)</f>
        <v/>
      </c>
      <c r="F17" s="8">
        <f>B17-D17</f>
        <v/>
      </c>
      <c r="G17" s="8">
        <f>SUMIF($B$24:$B$263,$A17+1,$E$24:$E$263)</f>
        <v/>
      </c>
      <c r="H17" s="8">
        <f>MAX(0,F17-G17)</f>
        <v/>
      </c>
    </row>
    <row r="18">
      <c r="A18" s="45" t="n">
        <v>3</v>
      </c>
      <c r="B18" s="8">
        <f>F17</f>
        <v/>
      </c>
      <c r="C18" s="8">
        <f>SUMIF($B$24:$B$263,$A18,$D$24:$D$263)</f>
        <v/>
      </c>
      <c r="D18" s="8">
        <f>SUMIF($B$24:$B$263,$A18,$E$24:$E$263)</f>
        <v/>
      </c>
      <c r="E18" s="8">
        <f>SUMIF($B$24:$B$263,$A18,$F$24:$F$263)</f>
        <v/>
      </c>
      <c r="F18" s="8">
        <f>B18-D18</f>
        <v/>
      </c>
      <c r="G18" s="8">
        <f>SUMIF($B$24:$B$263,$A18+1,$E$24:$E$263)</f>
        <v/>
      </c>
      <c r="H18" s="8">
        <f>MAX(0,F18-G18)</f>
        <v/>
      </c>
    </row>
    <row r="19">
      <c r="A19" s="45" t="n">
        <v>4</v>
      </c>
      <c r="B19" s="8">
        <f>F18</f>
        <v/>
      </c>
      <c r="C19" s="8">
        <f>SUMIF($B$24:$B$263,$A19,$D$24:$D$263)</f>
        <v/>
      </c>
      <c r="D19" s="8">
        <f>SUMIF($B$24:$B$263,$A19,$E$24:$E$263)</f>
        <v/>
      </c>
      <c r="E19" s="8">
        <f>SUMIF($B$24:$B$263,$A19,$F$24:$F$263)</f>
        <v/>
      </c>
      <c r="F19" s="8">
        <f>B19-D19</f>
        <v/>
      </c>
      <c r="G19" s="8">
        <f>SUMIF($B$24:$B$263,$A19+1,$E$24:$E$263)</f>
        <v/>
      </c>
      <c r="H19" s="8">
        <f>MAX(0,F19-G19)</f>
        <v/>
      </c>
    </row>
    <row r="20">
      <c r="A20" s="45" t="n">
        <v>5</v>
      </c>
      <c r="B20" s="8">
        <f>F19</f>
        <v/>
      </c>
      <c r="C20" s="8">
        <f>SUMIF($B$24:$B$263,$A20,$D$24:$D$263)</f>
        <v/>
      </c>
      <c r="D20" s="8">
        <f>SUMIF($B$24:$B$263,$A20,$E$24:$E$263)</f>
        <v/>
      </c>
      <c r="E20" s="8">
        <f>SUMIF($B$24:$B$263,$A20,$F$24:$F$263)</f>
        <v/>
      </c>
      <c r="F20" s="8">
        <f>B20-D20</f>
        <v/>
      </c>
      <c r="G20" s="8">
        <f>SUMIF($B$24:$B$263,$A20+1,$E$24:$E$263)</f>
        <v/>
      </c>
      <c r="H20" s="8">
        <f>MAX(0,F20-G20)</f>
        <v/>
      </c>
    </row>
    <row r="22">
      <c r="A22" s="3" t="inlineStr">
        <is>
          <t>MONTHLY AMORTISATION SCHEDULE (240 MONTHS)</t>
        </is>
      </c>
    </row>
    <row r="23">
      <c r="A23" s="4" t="inlineStr">
        <is>
          <t>Month</t>
        </is>
      </c>
      <c r="B23" s="4" t="inlineStr">
        <is>
          <t>Year</t>
        </is>
      </c>
      <c r="C23" s="4" t="inlineStr">
        <is>
          <t>Beginning balance</t>
        </is>
      </c>
      <c r="D23" s="4" t="inlineStr">
        <is>
          <t>Payment</t>
        </is>
      </c>
      <c r="E23" s="4" t="inlineStr">
        <is>
          <t>Principal</t>
        </is>
      </c>
      <c r="F23" s="4" t="inlineStr">
        <is>
          <t>Interest</t>
        </is>
      </c>
      <c r="G23" s="4" t="inlineStr">
        <is>
          <t>Ending balance</t>
        </is>
      </c>
    </row>
    <row r="24">
      <c r="A24" s="45" t="n">
        <v>1</v>
      </c>
      <c r="B24" s="45">
        <f>ROUNDUP(A24/12,0)</f>
        <v/>
      </c>
      <c r="C24" s="8">
        <f>$B$4</f>
        <v/>
      </c>
      <c r="D24" s="8">
        <f>IF(A24&lt;=$B$7,F24,IF(OR(A24=$B$12,C24+F24&lt;=ROUND($B$10,2)),C24+F24,ROUND($B$10,2)))</f>
        <v/>
      </c>
      <c r="E24" s="8">
        <f>D24-F24</f>
        <v/>
      </c>
      <c r="F24" s="8">
        <f>ROUND(C24*$B$8,2)</f>
        <v/>
      </c>
      <c r="G24" s="8">
        <f>ROUND(C24-E24,2)</f>
        <v/>
      </c>
    </row>
    <row r="25">
      <c r="A25" s="45">
        <f>A24+1</f>
        <v/>
      </c>
      <c r="B25" s="45">
        <f>ROUNDUP(A25/12,0)</f>
        <v/>
      </c>
      <c r="C25" s="8">
        <f>G24</f>
        <v/>
      </c>
      <c r="D25" s="8">
        <f>IF(A25&lt;=$B$7,F25,IF(OR(A25=$B$12,C25+F25&lt;=ROUND($B$10,2)),C25+F25,ROUND($B$10,2)))</f>
        <v/>
      </c>
      <c r="E25" s="8">
        <f>D25-F25</f>
        <v/>
      </c>
      <c r="F25" s="8">
        <f>ROUND(C25*$B$8,2)</f>
        <v/>
      </c>
      <c r="G25" s="8">
        <f>ROUND(C25-E25,2)</f>
        <v/>
      </c>
    </row>
    <row r="26">
      <c r="A26" s="45">
        <f>A25+1</f>
        <v/>
      </c>
      <c r="B26" s="45">
        <f>ROUNDUP(A26/12,0)</f>
        <v/>
      </c>
      <c r="C26" s="8">
        <f>G25</f>
        <v/>
      </c>
      <c r="D26" s="8">
        <f>IF(A26&lt;=$B$7,F26,IF(OR(A26=$B$12,C26+F26&lt;=ROUND($B$10,2)),C26+F26,ROUND($B$10,2)))</f>
        <v/>
      </c>
      <c r="E26" s="8">
        <f>D26-F26</f>
        <v/>
      </c>
      <c r="F26" s="8">
        <f>ROUND(C26*$B$8,2)</f>
        <v/>
      </c>
      <c r="G26" s="8">
        <f>ROUND(C26-E26,2)</f>
        <v/>
      </c>
    </row>
    <row r="27">
      <c r="A27" s="45">
        <f>A26+1</f>
        <v/>
      </c>
      <c r="B27" s="45">
        <f>ROUNDUP(A27/12,0)</f>
        <v/>
      </c>
      <c r="C27" s="8">
        <f>G26</f>
        <v/>
      </c>
      <c r="D27" s="8">
        <f>IF(A27&lt;=$B$7,F27,IF(OR(A27=$B$12,C27+F27&lt;=ROUND($B$10,2)),C27+F27,ROUND($B$10,2)))</f>
        <v/>
      </c>
      <c r="E27" s="8">
        <f>D27-F27</f>
        <v/>
      </c>
      <c r="F27" s="8">
        <f>ROUND(C27*$B$8,2)</f>
        <v/>
      </c>
      <c r="G27" s="8">
        <f>ROUND(C27-E27,2)</f>
        <v/>
      </c>
    </row>
    <row r="28">
      <c r="A28" s="45">
        <f>A27+1</f>
        <v/>
      </c>
      <c r="B28" s="45">
        <f>ROUNDUP(A28/12,0)</f>
        <v/>
      </c>
      <c r="C28" s="8">
        <f>G27</f>
        <v/>
      </c>
      <c r="D28" s="8">
        <f>IF(A28&lt;=$B$7,F28,IF(OR(A28=$B$12,C28+F28&lt;=ROUND($B$10,2)),C28+F28,ROUND($B$10,2)))</f>
        <v/>
      </c>
      <c r="E28" s="8">
        <f>D28-F28</f>
        <v/>
      </c>
      <c r="F28" s="8">
        <f>ROUND(C28*$B$8,2)</f>
        <v/>
      </c>
      <c r="G28" s="8">
        <f>ROUND(C28-E28,2)</f>
        <v/>
      </c>
    </row>
    <row r="29">
      <c r="A29" s="45">
        <f>A28+1</f>
        <v/>
      </c>
      <c r="B29" s="45">
        <f>ROUNDUP(A29/12,0)</f>
        <v/>
      </c>
      <c r="C29" s="8">
        <f>G28</f>
        <v/>
      </c>
      <c r="D29" s="8">
        <f>IF(A29&lt;=$B$7,F29,IF(OR(A29=$B$12,C29+F29&lt;=ROUND($B$10,2)),C29+F29,ROUND($B$10,2)))</f>
        <v/>
      </c>
      <c r="E29" s="8">
        <f>D29-F29</f>
        <v/>
      </c>
      <c r="F29" s="8">
        <f>ROUND(C29*$B$8,2)</f>
        <v/>
      </c>
      <c r="G29" s="8">
        <f>ROUND(C29-E29,2)</f>
        <v/>
      </c>
    </row>
    <row r="30">
      <c r="A30" s="45">
        <f>A29+1</f>
        <v/>
      </c>
      <c r="B30" s="45">
        <f>ROUNDUP(A30/12,0)</f>
        <v/>
      </c>
      <c r="C30" s="8">
        <f>G29</f>
        <v/>
      </c>
      <c r="D30" s="8">
        <f>IF(A30&lt;=$B$7,F30,IF(OR(A30=$B$12,C30+F30&lt;=ROUND($B$10,2)),C30+F30,ROUND($B$10,2)))</f>
        <v/>
      </c>
      <c r="E30" s="8">
        <f>D30-F30</f>
        <v/>
      </c>
      <c r="F30" s="8">
        <f>ROUND(C30*$B$8,2)</f>
        <v/>
      </c>
      <c r="G30" s="8">
        <f>ROUND(C30-E30,2)</f>
        <v/>
      </c>
    </row>
    <row r="31">
      <c r="A31" s="45">
        <f>A30+1</f>
        <v/>
      </c>
      <c r="B31" s="45">
        <f>ROUNDUP(A31/12,0)</f>
        <v/>
      </c>
      <c r="C31" s="8">
        <f>G30</f>
        <v/>
      </c>
      <c r="D31" s="8">
        <f>IF(A31&lt;=$B$7,F31,IF(OR(A31=$B$12,C31+F31&lt;=ROUND($B$10,2)),C31+F31,ROUND($B$10,2)))</f>
        <v/>
      </c>
      <c r="E31" s="8">
        <f>D31-F31</f>
        <v/>
      </c>
      <c r="F31" s="8">
        <f>ROUND(C31*$B$8,2)</f>
        <v/>
      </c>
      <c r="G31" s="8">
        <f>ROUND(C31-E31,2)</f>
        <v/>
      </c>
    </row>
    <row r="32">
      <c r="A32" s="45">
        <f>A31+1</f>
        <v/>
      </c>
      <c r="B32" s="45">
        <f>ROUNDUP(A32/12,0)</f>
        <v/>
      </c>
      <c r="C32" s="8">
        <f>G31</f>
        <v/>
      </c>
      <c r="D32" s="8">
        <f>IF(A32&lt;=$B$7,F32,IF(OR(A32=$B$12,C32+F32&lt;=ROUND($B$10,2)),C32+F32,ROUND($B$10,2)))</f>
        <v/>
      </c>
      <c r="E32" s="8">
        <f>D32-F32</f>
        <v/>
      </c>
      <c r="F32" s="8">
        <f>ROUND(C32*$B$8,2)</f>
        <v/>
      </c>
      <c r="G32" s="8">
        <f>ROUND(C32-E32,2)</f>
        <v/>
      </c>
    </row>
    <row r="33">
      <c r="A33" s="45">
        <f>A32+1</f>
        <v/>
      </c>
      <c r="B33" s="45">
        <f>ROUNDUP(A33/12,0)</f>
        <v/>
      </c>
      <c r="C33" s="8">
        <f>G32</f>
        <v/>
      </c>
      <c r="D33" s="8">
        <f>IF(A33&lt;=$B$7,F33,IF(OR(A33=$B$12,C33+F33&lt;=ROUND($B$10,2)),C33+F33,ROUND($B$10,2)))</f>
        <v/>
      </c>
      <c r="E33" s="8">
        <f>D33-F33</f>
        <v/>
      </c>
      <c r="F33" s="8">
        <f>ROUND(C33*$B$8,2)</f>
        <v/>
      </c>
      <c r="G33" s="8">
        <f>ROUND(C33-E33,2)</f>
        <v/>
      </c>
    </row>
    <row r="34">
      <c r="A34" s="45">
        <f>A33+1</f>
        <v/>
      </c>
      <c r="B34" s="45">
        <f>ROUNDUP(A34/12,0)</f>
        <v/>
      </c>
      <c r="C34" s="8">
        <f>G33</f>
        <v/>
      </c>
      <c r="D34" s="8">
        <f>IF(A34&lt;=$B$7,F34,IF(OR(A34=$B$12,C34+F34&lt;=ROUND($B$10,2)),C34+F34,ROUND($B$10,2)))</f>
        <v/>
      </c>
      <c r="E34" s="8">
        <f>D34-F34</f>
        <v/>
      </c>
      <c r="F34" s="8">
        <f>ROUND(C34*$B$8,2)</f>
        <v/>
      </c>
      <c r="G34" s="8">
        <f>ROUND(C34-E34,2)</f>
        <v/>
      </c>
    </row>
    <row r="35">
      <c r="A35" s="45">
        <f>A34+1</f>
        <v/>
      </c>
      <c r="B35" s="45">
        <f>ROUNDUP(A35/12,0)</f>
        <v/>
      </c>
      <c r="C35" s="8">
        <f>G34</f>
        <v/>
      </c>
      <c r="D35" s="8">
        <f>IF(A35&lt;=$B$7,F35,IF(OR(A35=$B$12,C35+F35&lt;=ROUND($B$10,2)),C35+F35,ROUND($B$10,2)))</f>
        <v/>
      </c>
      <c r="E35" s="8">
        <f>D35-F35</f>
        <v/>
      </c>
      <c r="F35" s="8">
        <f>ROUND(C35*$B$8,2)</f>
        <v/>
      </c>
      <c r="G35" s="8">
        <f>ROUND(C35-E35,2)</f>
        <v/>
      </c>
    </row>
    <row r="36">
      <c r="A36" s="45">
        <f>A35+1</f>
        <v/>
      </c>
      <c r="B36" s="45">
        <f>ROUNDUP(A36/12,0)</f>
        <v/>
      </c>
      <c r="C36" s="8">
        <f>G35</f>
        <v/>
      </c>
      <c r="D36" s="8">
        <f>IF(A36&lt;=$B$7,F36,IF(OR(A36=$B$12,C36+F36&lt;=ROUND($B$10,2)),C36+F36,ROUND($B$10,2)))</f>
        <v/>
      </c>
      <c r="E36" s="8">
        <f>D36-F36</f>
        <v/>
      </c>
      <c r="F36" s="8">
        <f>ROUND(C36*$B$8,2)</f>
        <v/>
      </c>
      <c r="G36" s="8">
        <f>ROUND(C36-E36,2)</f>
        <v/>
      </c>
    </row>
    <row r="37">
      <c r="A37" s="45">
        <f>A36+1</f>
        <v/>
      </c>
      <c r="B37" s="45">
        <f>ROUNDUP(A37/12,0)</f>
        <v/>
      </c>
      <c r="C37" s="8">
        <f>G36</f>
        <v/>
      </c>
      <c r="D37" s="8">
        <f>IF(A37&lt;=$B$7,F37,IF(OR(A37=$B$12,C37+F37&lt;=ROUND($B$10,2)),C37+F37,ROUND($B$10,2)))</f>
        <v/>
      </c>
      <c r="E37" s="8">
        <f>D37-F37</f>
        <v/>
      </c>
      <c r="F37" s="8">
        <f>ROUND(C37*$B$8,2)</f>
        <v/>
      </c>
      <c r="G37" s="8">
        <f>ROUND(C37-E37,2)</f>
        <v/>
      </c>
    </row>
    <row r="38">
      <c r="A38" s="45">
        <f>A37+1</f>
        <v/>
      </c>
      <c r="B38" s="45">
        <f>ROUNDUP(A38/12,0)</f>
        <v/>
      </c>
      <c r="C38" s="8">
        <f>G37</f>
        <v/>
      </c>
      <c r="D38" s="8">
        <f>IF(A38&lt;=$B$7,F38,IF(OR(A38=$B$12,C38+F38&lt;=ROUND($B$10,2)),C38+F38,ROUND($B$10,2)))</f>
        <v/>
      </c>
      <c r="E38" s="8">
        <f>D38-F38</f>
        <v/>
      </c>
      <c r="F38" s="8">
        <f>ROUND(C38*$B$8,2)</f>
        <v/>
      </c>
      <c r="G38" s="8">
        <f>ROUND(C38-E38,2)</f>
        <v/>
      </c>
    </row>
    <row r="39">
      <c r="A39" s="45">
        <f>A38+1</f>
        <v/>
      </c>
      <c r="B39" s="45">
        <f>ROUNDUP(A39/12,0)</f>
        <v/>
      </c>
      <c r="C39" s="8">
        <f>G38</f>
        <v/>
      </c>
      <c r="D39" s="8">
        <f>IF(A39&lt;=$B$7,F39,IF(OR(A39=$B$12,C39+F39&lt;=ROUND($B$10,2)),C39+F39,ROUND($B$10,2)))</f>
        <v/>
      </c>
      <c r="E39" s="8">
        <f>D39-F39</f>
        <v/>
      </c>
      <c r="F39" s="8">
        <f>ROUND(C39*$B$8,2)</f>
        <v/>
      </c>
      <c r="G39" s="8">
        <f>ROUND(C39-E39,2)</f>
        <v/>
      </c>
    </row>
    <row r="40">
      <c r="A40" s="45">
        <f>A39+1</f>
        <v/>
      </c>
      <c r="B40" s="45">
        <f>ROUNDUP(A40/12,0)</f>
        <v/>
      </c>
      <c r="C40" s="8">
        <f>G39</f>
        <v/>
      </c>
      <c r="D40" s="8">
        <f>IF(A40&lt;=$B$7,F40,IF(OR(A40=$B$12,C40+F40&lt;=ROUND($B$10,2)),C40+F40,ROUND($B$10,2)))</f>
        <v/>
      </c>
      <c r="E40" s="8">
        <f>D40-F40</f>
        <v/>
      </c>
      <c r="F40" s="8">
        <f>ROUND(C40*$B$8,2)</f>
        <v/>
      </c>
      <c r="G40" s="8">
        <f>ROUND(C40-E40,2)</f>
        <v/>
      </c>
    </row>
    <row r="41">
      <c r="A41" s="45">
        <f>A40+1</f>
        <v/>
      </c>
      <c r="B41" s="45">
        <f>ROUNDUP(A41/12,0)</f>
        <v/>
      </c>
      <c r="C41" s="8">
        <f>G40</f>
        <v/>
      </c>
      <c r="D41" s="8">
        <f>IF(A41&lt;=$B$7,F41,IF(OR(A41=$B$12,C41+F41&lt;=ROUND($B$10,2)),C41+F41,ROUND($B$10,2)))</f>
        <v/>
      </c>
      <c r="E41" s="8">
        <f>D41-F41</f>
        <v/>
      </c>
      <c r="F41" s="8">
        <f>ROUND(C41*$B$8,2)</f>
        <v/>
      </c>
      <c r="G41" s="8">
        <f>ROUND(C41-E41,2)</f>
        <v/>
      </c>
    </row>
    <row r="42">
      <c r="A42" s="45">
        <f>A41+1</f>
        <v/>
      </c>
      <c r="B42" s="45">
        <f>ROUNDUP(A42/12,0)</f>
        <v/>
      </c>
      <c r="C42" s="8">
        <f>G41</f>
        <v/>
      </c>
      <c r="D42" s="8">
        <f>IF(A42&lt;=$B$7,F42,IF(OR(A42=$B$12,C42+F42&lt;=ROUND($B$10,2)),C42+F42,ROUND($B$10,2)))</f>
        <v/>
      </c>
      <c r="E42" s="8">
        <f>D42-F42</f>
        <v/>
      </c>
      <c r="F42" s="8">
        <f>ROUND(C42*$B$8,2)</f>
        <v/>
      </c>
      <c r="G42" s="8">
        <f>ROUND(C42-E42,2)</f>
        <v/>
      </c>
    </row>
    <row r="43">
      <c r="A43" s="45">
        <f>A42+1</f>
        <v/>
      </c>
      <c r="B43" s="45">
        <f>ROUNDUP(A43/12,0)</f>
        <v/>
      </c>
      <c r="C43" s="8">
        <f>G42</f>
        <v/>
      </c>
      <c r="D43" s="8">
        <f>IF(A43&lt;=$B$7,F43,IF(OR(A43=$B$12,C43+F43&lt;=ROUND($B$10,2)),C43+F43,ROUND($B$10,2)))</f>
        <v/>
      </c>
      <c r="E43" s="8">
        <f>D43-F43</f>
        <v/>
      </c>
      <c r="F43" s="8">
        <f>ROUND(C43*$B$8,2)</f>
        <v/>
      </c>
      <c r="G43" s="8">
        <f>ROUND(C43-E43,2)</f>
        <v/>
      </c>
    </row>
    <row r="44">
      <c r="A44" s="45">
        <f>A43+1</f>
        <v/>
      </c>
      <c r="B44" s="45">
        <f>ROUNDUP(A44/12,0)</f>
        <v/>
      </c>
      <c r="C44" s="8">
        <f>G43</f>
        <v/>
      </c>
      <c r="D44" s="8">
        <f>IF(A44&lt;=$B$7,F44,IF(OR(A44=$B$12,C44+F44&lt;=ROUND($B$10,2)),C44+F44,ROUND($B$10,2)))</f>
        <v/>
      </c>
      <c r="E44" s="8">
        <f>D44-F44</f>
        <v/>
      </c>
      <c r="F44" s="8">
        <f>ROUND(C44*$B$8,2)</f>
        <v/>
      </c>
      <c r="G44" s="8">
        <f>ROUND(C44-E44,2)</f>
        <v/>
      </c>
    </row>
    <row r="45">
      <c r="A45" s="45">
        <f>A44+1</f>
        <v/>
      </c>
      <c r="B45" s="45">
        <f>ROUNDUP(A45/12,0)</f>
        <v/>
      </c>
      <c r="C45" s="8">
        <f>G44</f>
        <v/>
      </c>
      <c r="D45" s="8">
        <f>IF(A45&lt;=$B$7,F45,IF(OR(A45=$B$12,C45+F45&lt;=ROUND($B$10,2)),C45+F45,ROUND($B$10,2)))</f>
        <v/>
      </c>
      <c r="E45" s="8">
        <f>D45-F45</f>
        <v/>
      </c>
      <c r="F45" s="8">
        <f>ROUND(C45*$B$8,2)</f>
        <v/>
      </c>
      <c r="G45" s="8">
        <f>ROUND(C45-E45,2)</f>
        <v/>
      </c>
    </row>
    <row r="46">
      <c r="A46" s="45">
        <f>A45+1</f>
        <v/>
      </c>
      <c r="B46" s="45">
        <f>ROUNDUP(A46/12,0)</f>
        <v/>
      </c>
      <c r="C46" s="8">
        <f>G45</f>
        <v/>
      </c>
      <c r="D46" s="8">
        <f>IF(A46&lt;=$B$7,F46,IF(OR(A46=$B$12,C46+F46&lt;=ROUND($B$10,2)),C46+F46,ROUND($B$10,2)))</f>
        <v/>
      </c>
      <c r="E46" s="8">
        <f>D46-F46</f>
        <v/>
      </c>
      <c r="F46" s="8">
        <f>ROUND(C46*$B$8,2)</f>
        <v/>
      </c>
      <c r="G46" s="8">
        <f>ROUND(C46-E46,2)</f>
        <v/>
      </c>
    </row>
    <row r="47">
      <c r="A47" s="45">
        <f>A46+1</f>
        <v/>
      </c>
      <c r="B47" s="45">
        <f>ROUNDUP(A47/12,0)</f>
        <v/>
      </c>
      <c r="C47" s="8">
        <f>G46</f>
        <v/>
      </c>
      <c r="D47" s="8">
        <f>IF(A47&lt;=$B$7,F47,IF(OR(A47=$B$12,C47+F47&lt;=ROUND($B$10,2)),C47+F47,ROUND($B$10,2)))</f>
        <v/>
      </c>
      <c r="E47" s="8">
        <f>D47-F47</f>
        <v/>
      </c>
      <c r="F47" s="8">
        <f>ROUND(C47*$B$8,2)</f>
        <v/>
      </c>
      <c r="G47" s="8">
        <f>ROUND(C47-E47,2)</f>
        <v/>
      </c>
    </row>
    <row r="48">
      <c r="A48" s="45">
        <f>A47+1</f>
        <v/>
      </c>
      <c r="B48" s="45">
        <f>ROUNDUP(A48/12,0)</f>
        <v/>
      </c>
      <c r="C48" s="8">
        <f>G47</f>
        <v/>
      </c>
      <c r="D48" s="8">
        <f>IF(A48&lt;=$B$7,F48,IF(OR(A48=$B$12,C48+F48&lt;=ROUND($B$10,2)),C48+F48,ROUND($B$10,2)))</f>
        <v/>
      </c>
      <c r="E48" s="8">
        <f>D48-F48</f>
        <v/>
      </c>
      <c r="F48" s="8">
        <f>ROUND(C48*$B$8,2)</f>
        <v/>
      </c>
      <c r="G48" s="8">
        <f>ROUND(C48-E48,2)</f>
        <v/>
      </c>
    </row>
    <row r="49">
      <c r="A49" s="45">
        <f>A48+1</f>
        <v/>
      </c>
      <c r="B49" s="45">
        <f>ROUNDUP(A49/12,0)</f>
        <v/>
      </c>
      <c r="C49" s="8">
        <f>G48</f>
        <v/>
      </c>
      <c r="D49" s="8">
        <f>IF(A49&lt;=$B$7,F49,IF(OR(A49=$B$12,C49+F49&lt;=ROUND($B$10,2)),C49+F49,ROUND($B$10,2)))</f>
        <v/>
      </c>
      <c r="E49" s="8">
        <f>D49-F49</f>
        <v/>
      </c>
      <c r="F49" s="8">
        <f>ROUND(C49*$B$8,2)</f>
        <v/>
      </c>
      <c r="G49" s="8">
        <f>ROUND(C49-E49,2)</f>
        <v/>
      </c>
    </row>
    <row r="50">
      <c r="A50" s="45">
        <f>A49+1</f>
        <v/>
      </c>
      <c r="B50" s="45">
        <f>ROUNDUP(A50/12,0)</f>
        <v/>
      </c>
      <c r="C50" s="8">
        <f>G49</f>
        <v/>
      </c>
      <c r="D50" s="8">
        <f>IF(A50&lt;=$B$7,F50,IF(OR(A50=$B$12,C50+F50&lt;=ROUND($B$10,2)),C50+F50,ROUND($B$10,2)))</f>
        <v/>
      </c>
      <c r="E50" s="8">
        <f>D50-F50</f>
        <v/>
      </c>
      <c r="F50" s="8">
        <f>ROUND(C50*$B$8,2)</f>
        <v/>
      </c>
      <c r="G50" s="8">
        <f>ROUND(C50-E50,2)</f>
        <v/>
      </c>
    </row>
    <row r="51">
      <c r="A51" s="45">
        <f>A50+1</f>
        <v/>
      </c>
      <c r="B51" s="45">
        <f>ROUNDUP(A51/12,0)</f>
        <v/>
      </c>
      <c r="C51" s="8">
        <f>G50</f>
        <v/>
      </c>
      <c r="D51" s="8">
        <f>IF(A51&lt;=$B$7,F51,IF(OR(A51=$B$12,C51+F51&lt;=ROUND($B$10,2)),C51+F51,ROUND($B$10,2)))</f>
        <v/>
      </c>
      <c r="E51" s="8">
        <f>D51-F51</f>
        <v/>
      </c>
      <c r="F51" s="8">
        <f>ROUND(C51*$B$8,2)</f>
        <v/>
      </c>
      <c r="G51" s="8">
        <f>ROUND(C51-E51,2)</f>
        <v/>
      </c>
    </row>
    <row r="52">
      <c r="A52" s="45">
        <f>A51+1</f>
        <v/>
      </c>
      <c r="B52" s="45">
        <f>ROUNDUP(A52/12,0)</f>
        <v/>
      </c>
      <c r="C52" s="8">
        <f>G51</f>
        <v/>
      </c>
      <c r="D52" s="8">
        <f>IF(A52&lt;=$B$7,F52,IF(OR(A52=$B$12,C52+F52&lt;=ROUND($B$10,2)),C52+F52,ROUND($B$10,2)))</f>
        <v/>
      </c>
      <c r="E52" s="8">
        <f>D52-F52</f>
        <v/>
      </c>
      <c r="F52" s="8">
        <f>ROUND(C52*$B$8,2)</f>
        <v/>
      </c>
      <c r="G52" s="8">
        <f>ROUND(C52-E52,2)</f>
        <v/>
      </c>
    </row>
    <row r="53">
      <c r="A53" s="45">
        <f>A52+1</f>
        <v/>
      </c>
      <c r="B53" s="45">
        <f>ROUNDUP(A53/12,0)</f>
        <v/>
      </c>
      <c r="C53" s="8">
        <f>G52</f>
        <v/>
      </c>
      <c r="D53" s="8">
        <f>IF(A53&lt;=$B$7,F53,IF(OR(A53=$B$12,C53+F53&lt;=ROUND($B$10,2)),C53+F53,ROUND($B$10,2)))</f>
        <v/>
      </c>
      <c r="E53" s="8">
        <f>D53-F53</f>
        <v/>
      </c>
      <c r="F53" s="8">
        <f>ROUND(C53*$B$8,2)</f>
        <v/>
      </c>
      <c r="G53" s="8">
        <f>ROUND(C53-E53,2)</f>
        <v/>
      </c>
    </row>
    <row r="54">
      <c r="A54" s="45">
        <f>A53+1</f>
        <v/>
      </c>
      <c r="B54" s="45">
        <f>ROUNDUP(A54/12,0)</f>
        <v/>
      </c>
      <c r="C54" s="8">
        <f>G53</f>
        <v/>
      </c>
      <c r="D54" s="8">
        <f>IF(A54&lt;=$B$7,F54,IF(OR(A54=$B$12,C54+F54&lt;=ROUND($B$10,2)),C54+F54,ROUND($B$10,2)))</f>
        <v/>
      </c>
      <c r="E54" s="8">
        <f>D54-F54</f>
        <v/>
      </c>
      <c r="F54" s="8">
        <f>ROUND(C54*$B$8,2)</f>
        <v/>
      </c>
      <c r="G54" s="8">
        <f>ROUND(C54-E54,2)</f>
        <v/>
      </c>
    </row>
    <row r="55">
      <c r="A55" s="45">
        <f>A54+1</f>
        <v/>
      </c>
      <c r="B55" s="45">
        <f>ROUNDUP(A55/12,0)</f>
        <v/>
      </c>
      <c r="C55" s="8">
        <f>G54</f>
        <v/>
      </c>
      <c r="D55" s="8">
        <f>IF(A55&lt;=$B$7,F55,IF(OR(A55=$B$12,C55+F55&lt;=ROUND($B$10,2)),C55+F55,ROUND($B$10,2)))</f>
        <v/>
      </c>
      <c r="E55" s="8">
        <f>D55-F55</f>
        <v/>
      </c>
      <c r="F55" s="8">
        <f>ROUND(C55*$B$8,2)</f>
        <v/>
      </c>
      <c r="G55" s="8">
        <f>ROUND(C55-E55,2)</f>
        <v/>
      </c>
    </row>
    <row r="56">
      <c r="A56" s="45">
        <f>A55+1</f>
        <v/>
      </c>
      <c r="B56" s="45">
        <f>ROUNDUP(A56/12,0)</f>
        <v/>
      </c>
      <c r="C56" s="8">
        <f>G55</f>
        <v/>
      </c>
      <c r="D56" s="8">
        <f>IF(A56&lt;=$B$7,F56,IF(OR(A56=$B$12,C56+F56&lt;=ROUND($B$10,2)),C56+F56,ROUND($B$10,2)))</f>
        <v/>
      </c>
      <c r="E56" s="8">
        <f>D56-F56</f>
        <v/>
      </c>
      <c r="F56" s="8">
        <f>ROUND(C56*$B$8,2)</f>
        <v/>
      </c>
      <c r="G56" s="8">
        <f>ROUND(C56-E56,2)</f>
        <v/>
      </c>
    </row>
    <row r="57">
      <c r="A57" s="45">
        <f>A56+1</f>
        <v/>
      </c>
      <c r="B57" s="45">
        <f>ROUNDUP(A57/12,0)</f>
        <v/>
      </c>
      <c r="C57" s="8">
        <f>G56</f>
        <v/>
      </c>
      <c r="D57" s="8">
        <f>IF(A57&lt;=$B$7,F57,IF(OR(A57=$B$12,C57+F57&lt;=ROUND($B$10,2)),C57+F57,ROUND($B$10,2)))</f>
        <v/>
      </c>
      <c r="E57" s="8">
        <f>D57-F57</f>
        <v/>
      </c>
      <c r="F57" s="8">
        <f>ROUND(C57*$B$8,2)</f>
        <v/>
      </c>
      <c r="G57" s="8">
        <f>ROUND(C57-E57,2)</f>
        <v/>
      </c>
    </row>
    <row r="58">
      <c r="A58" s="45">
        <f>A57+1</f>
        <v/>
      </c>
      <c r="B58" s="45">
        <f>ROUNDUP(A58/12,0)</f>
        <v/>
      </c>
      <c r="C58" s="8">
        <f>G57</f>
        <v/>
      </c>
      <c r="D58" s="8">
        <f>IF(A58&lt;=$B$7,F58,IF(OR(A58=$B$12,C58+F58&lt;=ROUND($B$10,2)),C58+F58,ROUND($B$10,2)))</f>
        <v/>
      </c>
      <c r="E58" s="8">
        <f>D58-F58</f>
        <v/>
      </c>
      <c r="F58" s="8">
        <f>ROUND(C58*$B$8,2)</f>
        <v/>
      </c>
      <c r="G58" s="8">
        <f>ROUND(C58-E58,2)</f>
        <v/>
      </c>
    </row>
    <row r="59">
      <c r="A59" s="45">
        <f>A58+1</f>
        <v/>
      </c>
      <c r="B59" s="45">
        <f>ROUNDUP(A59/12,0)</f>
        <v/>
      </c>
      <c r="C59" s="8">
        <f>G58</f>
        <v/>
      </c>
      <c r="D59" s="8">
        <f>IF(A59&lt;=$B$7,F59,IF(OR(A59=$B$12,C59+F59&lt;=ROUND($B$10,2)),C59+F59,ROUND($B$10,2)))</f>
        <v/>
      </c>
      <c r="E59" s="8">
        <f>D59-F59</f>
        <v/>
      </c>
      <c r="F59" s="8">
        <f>ROUND(C59*$B$8,2)</f>
        <v/>
      </c>
      <c r="G59" s="8">
        <f>ROUND(C59-E59,2)</f>
        <v/>
      </c>
    </row>
    <row r="60">
      <c r="A60" s="45">
        <f>A59+1</f>
        <v/>
      </c>
      <c r="B60" s="45">
        <f>ROUNDUP(A60/12,0)</f>
        <v/>
      </c>
      <c r="C60" s="8">
        <f>G59</f>
        <v/>
      </c>
      <c r="D60" s="8">
        <f>IF(A60&lt;=$B$7,F60,IF(OR(A60=$B$12,C60+F60&lt;=ROUND($B$10,2)),C60+F60,ROUND($B$10,2)))</f>
        <v/>
      </c>
      <c r="E60" s="8">
        <f>D60-F60</f>
        <v/>
      </c>
      <c r="F60" s="8">
        <f>ROUND(C60*$B$8,2)</f>
        <v/>
      </c>
      <c r="G60" s="8">
        <f>ROUND(C60-E60,2)</f>
        <v/>
      </c>
    </row>
    <row r="61">
      <c r="A61" s="45">
        <f>A60+1</f>
        <v/>
      </c>
      <c r="B61" s="45">
        <f>ROUNDUP(A61/12,0)</f>
        <v/>
      </c>
      <c r="C61" s="8">
        <f>G60</f>
        <v/>
      </c>
      <c r="D61" s="8">
        <f>IF(A61&lt;=$B$7,F61,IF(OR(A61=$B$12,C61+F61&lt;=ROUND($B$10,2)),C61+F61,ROUND($B$10,2)))</f>
        <v/>
      </c>
      <c r="E61" s="8">
        <f>D61-F61</f>
        <v/>
      </c>
      <c r="F61" s="8">
        <f>ROUND(C61*$B$8,2)</f>
        <v/>
      </c>
      <c r="G61" s="8">
        <f>ROUND(C61-E61,2)</f>
        <v/>
      </c>
    </row>
    <row r="62">
      <c r="A62" s="45">
        <f>A61+1</f>
        <v/>
      </c>
      <c r="B62" s="45">
        <f>ROUNDUP(A62/12,0)</f>
        <v/>
      </c>
      <c r="C62" s="8">
        <f>G61</f>
        <v/>
      </c>
      <c r="D62" s="8">
        <f>IF(A62&lt;=$B$7,F62,IF(OR(A62=$B$12,C62+F62&lt;=ROUND($B$10,2)),C62+F62,ROUND($B$10,2)))</f>
        <v/>
      </c>
      <c r="E62" s="8">
        <f>D62-F62</f>
        <v/>
      </c>
      <c r="F62" s="8">
        <f>ROUND(C62*$B$8,2)</f>
        <v/>
      </c>
      <c r="G62" s="8">
        <f>ROUND(C62-E62,2)</f>
        <v/>
      </c>
    </row>
    <row r="63">
      <c r="A63" s="45">
        <f>A62+1</f>
        <v/>
      </c>
      <c r="B63" s="45">
        <f>ROUNDUP(A63/12,0)</f>
        <v/>
      </c>
      <c r="C63" s="8">
        <f>G62</f>
        <v/>
      </c>
      <c r="D63" s="8">
        <f>IF(A63&lt;=$B$7,F63,IF(OR(A63=$B$12,C63+F63&lt;=ROUND($B$10,2)),C63+F63,ROUND($B$10,2)))</f>
        <v/>
      </c>
      <c r="E63" s="8">
        <f>D63-F63</f>
        <v/>
      </c>
      <c r="F63" s="8">
        <f>ROUND(C63*$B$8,2)</f>
        <v/>
      </c>
      <c r="G63" s="8">
        <f>ROUND(C63-E63,2)</f>
        <v/>
      </c>
    </row>
    <row r="64">
      <c r="A64" s="45">
        <f>A63+1</f>
        <v/>
      </c>
      <c r="B64" s="45">
        <f>ROUNDUP(A64/12,0)</f>
        <v/>
      </c>
      <c r="C64" s="8">
        <f>G63</f>
        <v/>
      </c>
      <c r="D64" s="8">
        <f>IF(A64&lt;=$B$7,F64,IF(OR(A64=$B$12,C64+F64&lt;=ROUND($B$10,2)),C64+F64,ROUND($B$10,2)))</f>
        <v/>
      </c>
      <c r="E64" s="8">
        <f>D64-F64</f>
        <v/>
      </c>
      <c r="F64" s="8">
        <f>ROUND(C64*$B$8,2)</f>
        <v/>
      </c>
      <c r="G64" s="8">
        <f>ROUND(C64-E64,2)</f>
        <v/>
      </c>
    </row>
    <row r="65">
      <c r="A65" s="45">
        <f>A64+1</f>
        <v/>
      </c>
      <c r="B65" s="45">
        <f>ROUNDUP(A65/12,0)</f>
        <v/>
      </c>
      <c r="C65" s="8">
        <f>G64</f>
        <v/>
      </c>
      <c r="D65" s="8">
        <f>IF(A65&lt;=$B$7,F65,IF(OR(A65=$B$12,C65+F65&lt;=ROUND($B$10,2)),C65+F65,ROUND($B$10,2)))</f>
        <v/>
      </c>
      <c r="E65" s="8">
        <f>D65-F65</f>
        <v/>
      </c>
      <c r="F65" s="8">
        <f>ROUND(C65*$B$8,2)</f>
        <v/>
      </c>
      <c r="G65" s="8">
        <f>ROUND(C65-E65,2)</f>
        <v/>
      </c>
    </row>
    <row r="66">
      <c r="A66" s="45">
        <f>A65+1</f>
        <v/>
      </c>
      <c r="B66" s="45">
        <f>ROUNDUP(A66/12,0)</f>
        <v/>
      </c>
      <c r="C66" s="8">
        <f>G65</f>
        <v/>
      </c>
      <c r="D66" s="8">
        <f>IF(A66&lt;=$B$7,F66,IF(OR(A66=$B$12,C66+F66&lt;=ROUND($B$10,2)),C66+F66,ROUND($B$10,2)))</f>
        <v/>
      </c>
      <c r="E66" s="8">
        <f>D66-F66</f>
        <v/>
      </c>
      <c r="F66" s="8">
        <f>ROUND(C66*$B$8,2)</f>
        <v/>
      </c>
      <c r="G66" s="8">
        <f>ROUND(C66-E66,2)</f>
        <v/>
      </c>
    </row>
    <row r="67">
      <c r="A67" s="45">
        <f>A66+1</f>
        <v/>
      </c>
      <c r="B67" s="45">
        <f>ROUNDUP(A67/12,0)</f>
        <v/>
      </c>
      <c r="C67" s="8">
        <f>G66</f>
        <v/>
      </c>
      <c r="D67" s="8">
        <f>IF(A67&lt;=$B$7,F67,IF(OR(A67=$B$12,C67+F67&lt;=ROUND($B$10,2)),C67+F67,ROUND($B$10,2)))</f>
        <v/>
      </c>
      <c r="E67" s="8">
        <f>D67-F67</f>
        <v/>
      </c>
      <c r="F67" s="8">
        <f>ROUND(C67*$B$8,2)</f>
        <v/>
      </c>
      <c r="G67" s="8">
        <f>ROUND(C67-E67,2)</f>
        <v/>
      </c>
    </row>
    <row r="68">
      <c r="A68" s="45">
        <f>A67+1</f>
        <v/>
      </c>
      <c r="B68" s="45">
        <f>ROUNDUP(A68/12,0)</f>
        <v/>
      </c>
      <c r="C68" s="8">
        <f>G67</f>
        <v/>
      </c>
      <c r="D68" s="8">
        <f>IF(A68&lt;=$B$7,F68,IF(OR(A68=$B$12,C68+F68&lt;=ROUND($B$10,2)),C68+F68,ROUND($B$10,2)))</f>
        <v/>
      </c>
      <c r="E68" s="8">
        <f>D68-F68</f>
        <v/>
      </c>
      <c r="F68" s="8">
        <f>ROUND(C68*$B$8,2)</f>
        <v/>
      </c>
      <c r="G68" s="8">
        <f>ROUND(C68-E68,2)</f>
        <v/>
      </c>
    </row>
    <row r="69">
      <c r="A69" s="45">
        <f>A68+1</f>
        <v/>
      </c>
      <c r="B69" s="45">
        <f>ROUNDUP(A69/12,0)</f>
        <v/>
      </c>
      <c r="C69" s="8">
        <f>G68</f>
        <v/>
      </c>
      <c r="D69" s="8">
        <f>IF(A69&lt;=$B$7,F69,IF(OR(A69=$B$12,C69+F69&lt;=ROUND($B$10,2)),C69+F69,ROUND($B$10,2)))</f>
        <v/>
      </c>
      <c r="E69" s="8">
        <f>D69-F69</f>
        <v/>
      </c>
      <c r="F69" s="8">
        <f>ROUND(C69*$B$8,2)</f>
        <v/>
      </c>
      <c r="G69" s="8">
        <f>ROUND(C69-E69,2)</f>
        <v/>
      </c>
    </row>
    <row r="70">
      <c r="A70" s="45">
        <f>A69+1</f>
        <v/>
      </c>
      <c r="B70" s="45">
        <f>ROUNDUP(A70/12,0)</f>
        <v/>
      </c>
      <c r="C70" s="8">
        <f>G69</f>
        <v/>
      </c>
      <c r="D70" s="8">
        <f>IF(A70&lt;=$B$7,F70,IF(OR(A70=$B$12,C70+F70&lt;=ROUND($B$10,2)),C70+F70,ROUND($B$10,2)))</f>
        <v/>
      </c>
      <c r="E70" s="8">
        <f>D70-F70</f>
        <v/>
      </c>
      <c r="F70" s="8">
        <f>ROUND(C70*$B$8,2)</f>
        <v/>
      </c>
      <c r="G70" s="8">
        <f>ROUND(C70-E70,2)</f>
        <v/>
      </c>
    </row>
    <row r="71">
      <c r="A71" s="45">
        <f>A70+1</f>
        <v/>
      </c>
      <c r="B71" s="45">
        <f>ROUNDUP(A71/12,0)</f>
        <v/>
      </c>
      <c r="C71" s="8">
        <f>G70</f>
        <v/>
      </c>
      <c r="D71" s="8">
        <f>IF(A71&lt;=$B$7,F71,IF(OR(A71=$B$12,C71+F71&lt;=ROUND($B$10,2)),C71+F71,ROUND($B$10,2)))</f>
        <v/>
      </c>
      <c r="E71" s="8">
        <f>D71-F71</f>
        <v/>
      </c>
      <c r="F71" s="8">
        <f>ROUND(C71*$B$8,2)</f>
        <v/>
      </c>
      <c r="G71" s="8">
        <f>ROUND(C71-E71,2)</f>
        <v/>
      </c>
    </row>
    <row r="72">
      <c r="A72" s="45">
        <f>A71+1</f>
        <v/>
      </c>
      <c r="B72" s="45">
        <f>ROUNDUP(A72/12,0)</f>
        <v/>
      </c>
      <c r="C72" s="8">
        <f>G71</f>
        <v/>
      </c>
      <c r="D72" s="8">
        <f>IF(A72&lt;=$B$7,F72,IF(OR(A72=$B$12,C72+F72&lt;=ROUND($B$10,2)),C72+F72,ROUND($B$10,2)))</f>
        <v/>
      </c>
      <c r="E72" s="8">
        <f>D72-F72</f>
        <v/>
      </c>
      <c r="F72" s="8">
        <f>ROUND(C72*$B$8,2)</f>
        <v/>
      </c>
      <c r="G72" s="8">
        <f>ROUND(C72-E72,2)</f>
        <v/>
      </c>
    </row>
    <row r="73">
      <c r="A73" s="45">
        <f>A72+1</f>
        <v/>
      </c>
      <c r="B73" s="45">
        <f>ROUNDUP(A73/12,0)</f>
        <v/>
      </c>
      <c r="C73" s="8">
        <f>G72</f>
        <v/>
      </c>
      <c r="D73" s="8">
        <f>IF(A73&lt;=$B$7,F73,IF(OR(A73=$B$12,C73+F73&lt;=ROUND($B$10,2)),C73+F73,ROUND($B$10,2)))</f>
        <v/>
      </c>
      <c r="E73" s="8">
        <f>D73-F73</f>
        <v/>
      </c>
      <c r="F73" s="8">
        <f>ROUND(C73*$B$8,2)</f>
        <v/>
      </c>
      <c r="G73" s="8">
        <f>ROUND(C73-E73,2)</f>
        <v/>
      </c>
    </row>
    <row r="74">
      <c r="A74" s="45">
        <f>A73+1</f>
        <v/>
      </c>
      <c r="B74" s="45">
        <f>ROUNDUP(A74/12,0)</f>
        <v/>
      </c>
      <c r="C74" s="8">
        <f>G73</f>
        <v/>
      </c>
      <c r="D74" s="8">
        <f>IF(A74&lt;=$B$7,F74,IF(OR(A74=$B$12,C74+F74&lt;=ROUND($B$10,2)),C74+F74,ROUND($B$10,2)))</f>
        <v/>
      </c>
      <c r="E74" s="8">
        <f>D74-F74</f>
        <v/>
      </c>
      <c r="F74" s="8">
        <f>ROUND(C74*$B$8,2)</f>
        <v/>
      </c>
      <c r="G74" s="8">
        <f>ROUND(C74-E74,2)</f>
        <v/>
      </c>
    </row>
    <row r="75">
      <c r="A75" s="45">
        <f>A74+1</f>
        <v/>
      </c>
      <c r="B75" s="45">
        <f>ROUNDUP(A75/12,0)</f>
        <v/>
      </c>
      <c r="C75" s="8">
        <f>G74</f>
        <v/>
      </c>
      <c r="D75" s="8">
        <f>IF(A75&lt;=$B$7,F75,IF(OR(A75=$B$12,C75+F75&lt;=ROUND($B$10,2)),C75+F75,ROUND($B$10,2)))</f>
        <v/>
      </c>
      <c r="E75" s="8">
        <f>D75-F75</f>
        <v/>
      </c>
      <c r="F75" s="8">
        <f>ROUND(C75*$B$8,2)</f>
        <v/>
      </c>
      <c r="G75" s="8">
        <f>ROUND(C75-E75,2)</f>
        <v/>
      </c>
    </row>
    <row r="76">
      <c r="A76" s="45">
        <f>A75+1</f>
        <v/>
      </c>
      <c r="B76" s="45">
        <f>ROUNDUP(A76/12,0)</f>
        <v/>
      </c>
      <c r="C76" s="8">
        <f>G75</f>
        <v/>
      </c>
      <c r="D76" s="8">
        <f>IF(A76&lt;=$B$7,F76,IF(OR(A76=$B$12,C76+F76&lt;=ROUND($B$10,2)),C76+F76,ROUND($B$10,2)))</f>
        <v/>
      </c>
      <c r="E76" s="8">
        <f>D76-F76</f>
        <v/>
      </c>
      <c r="F76" s="8">
        <f>ROUND(C76*$B$8,2)</f>
        <v/>
      </c>
      <c r="G76" s="8">
        <f>ROUND(C76-E76,2)</f>
        <v/>
      </c>
    </row>
    <row r="77">
      <c r="A77" s="45">
        <f>A76+1</f>
        <v/>
      </c>
      <c r="B77" s="45">
        <f>ROUNDUP(A77/12,0)</f>
        <v/>
      </c>
      <c r="C77" s="8">
        <f>G76</f>
        <v/>
      </c>
      <c r="D77" s="8">
        <f>IF(A77&lt;=$B$7,F77,IF(OR(A77=$B$12,C77+F77&lt;=ROUND($B$10,2)),C77+F77,ROUND($B$10,2)))</f>
        <v/>
      </c>
      <c r="E77" s="8">
        <f>D77-F77</f>
        <v/>
      </c>
      <c r="F77" s="8">
        <f>ROUND(C77*$B$8,2)</f>
        <v/>
      </c>
      <c r="G77" s="8">
        <f>ROUND(C77-E77,2)</f>
        <v/>
      </c>
    </row>
    <row r="78">
      <c r="A78" s="45">
        <f>A77+1</f>
        <v/>
      </c>
      <c r="B78" s="45">
        <f>ROUNDUP(A78/12,0)</f>
        <v/>
      </c>
      <c r="C78" s="8">
        <f>G77</f>
        <v/>
      </c>
      <c r="D78" s="8">
        <f>IF(A78&lt;=$B$7,F78,IF(OR(A78=$B$12,C78+F78&lt;=ROUND($B$10,2)),C78+F78,ROUND($B$10,2)))</f>
        <v/>
      </c>
      <c r="E78" s="8">
        <f>D78-F78</f>
        <v/>
      </c>
      <c r="F78" s="8">
        <f>ROUND(C78*$B$8,2)</f>
        <v/>
      </c>
      <c r="G78" s="8">
        <f>ROUND(C78-E78,2)</f>
        <v/>
      </c>
    </row>
    <row r="79">
      <c r="A79" s="45">
        <f>A78+1</f>
        <v/>
      </c>
      <c r="B79" s="45">
        <f>ROUNDUP(A79/12,0)</f>
        <v/>
      </c>
      <c r="C79" s="8">
        <f>G78</f>
        <v/>
      </c>
      <c r="D79" s="8">
        <f>IF(A79&lt;=$B$7,F79,IF(OR(A79=$B$12,C79+F79&lt;=ROUND($B$10,2)),C79+F79,ROUND($B$10,2)))</f>
        <v/>
      </c>
      <c r="E79" s="8">
        <f>D79-F79</f>
        <v/>
      </c>
      <c r="F79" s="8">
        <f>ROUND(C79*$B$8,2)</f>
        <v/>
      </c>
      <c r="G79" s="8">
        <f>ROUND(C79-E79,2)</f>
        <v/>
      </c>
    </row>
    <row r="80">
      <c r="A80" s="45">
        <f>A79+1</f>
        <v/>
      </c>
      <c r="B80" s="45">
        <f>ROUNDUP(A80/12,0)</f>
        <v/>
      </c>
      <c r="C80" s="8">
        <f>G79</f>
        <v/>
      </c>
      <c r="D80" s="8">
        <f>IF(A80&lt;=$B$7,F80,IF(OR(A80=$B$12,C80+F80&lt;=ROUND($B$10,2)),C80+F80,ROUND($B$10,2)))</f>
        <v/>
      </c>
      <c r="E80" s="8">
        <f>D80-F80</f>
        <v/>
      </c>
      <c r="F80" s="8">
        <f>ROUND(C80*$B$8,2)</f>
        <v/>
      </c>
      <c r="G80" s="8">
        <f>ROUND(C80-E80,2)</f>
        <v/>
      </c>
    </row>
    <row r="81">
      <c r="A81" s="45">
        <f>A80+1</f>
        <v/>
      </c>
      <c r="B81" s="45">
        <f>ROUNDUP(A81/12,0)</f>
        <v/>
      </c>
      <c r="C81" s="8">
        <f>G80</f>
        <v/>
      </c>
      <c r="D81" s="8">
        <f>IF(A81&lt;=$B$7,F81,IF(OR(A81=$B$12,C81+F81&lt;=ROUND($B$10,2)),C81+F81,ROUND($B$10,2)))</f>
        <v/>
      </c>
      <c r="E81" s="8">
        <f>D81-F81</f>
        <v/>
      </c>
      <c r="F81" s="8">
        <f>ROUND(C81*$B$8,2)</f>
        <v/>
      </c>
      <c r="G81" s="8">
        <f>ROUND(C81-E81,2)</f>
        <v/>
      </c>
    </row>
    <row r="82">
      <c r="A82" s="45">
        <f>A81+1</f>
        <v/>
      </c>
      <c r="B82" s="45">
        <f>ROUNDUP(A82/12,0)</f>
        <v/>
      </c>
      <c r="C82" s="8">
        <f>G81</f>
        <v/>
      </c>
      <c r="D82" s="8">
        <f>IF(A82&lt;=$B$7,F82,IF(OR(A82=$B$12,C82+F82&lt;=ROUND($B$10,2)),C82+F82,ROUND($B$10,2)))</f>
        <v/>
      </c>
      <c r="E82" s="8">
        <f>D82-F82</f>
        <v/>
      </c>
      <c r="F82" s="8">
        <f>ROUND(C82*$B$8,2)</f>
        <v/>
      </c>
      <c r="G82" s="8">
        <f>ROUND(C82-E82,2)</f>
        <v/>
      </c>
    </row>
    <row r="83">
      <c r="A83" s="45">
        <f>A82+1</f>
        <v/>
      </c>
      <c r="B83" s="45">
        <f>ROUNDUP(A83/12,0)</f>
        <v/>
      </c>
      <c r="C83" s="8">
        <f>G82</f>
        <v/>
      </c>
      <c r="D83" s="8">
        <f>IF(A83&lt;=$B$7,F83,IF(OR(A83=$B$12,C83+F83&lt;=ROUND($B$10,2)),C83+F83,ROUND($B$10,2)))</f>
        <v/>
      </c>
      <c r="E83" s="8">
        <f>D83-F83</f>
        <v/>
      </c>
      <c r="F83" s="8">
        <f>ROUND(C83*$B$8,2)</f>
        <v/>
      </c>
      <c r="G83" s="8">
        <f>ROUND(C83-E83,2)</f>
        <v/>
      </c>
    </row>
    <row r="84">
      <c r="A84" s="45">
        <f>A83+1</f>
        <v/>
      </c>
      <c r="B84" s="45">
        <f>ROUNDUP(A84/12,0)</f>
        <v/>
      </c>
      <c r="C84" s="8">
        <f>G83</f>
        <v/>
      </c>
      <c r="D84" s="8">
        <f>IF(A84&lt;=$B$7,F84,IF(OR(A84=$B$12,C84+F84&lt;=ROUND($B$10,2)),C84+F84,ROUND($B$10,2)))</f>
        <v/>
      </c>
      <c r="E84" s="8">
        <f>D84-F84</f>
        <v/>
      </c>
      <c r="F84" s="8">
        <f>ROUND(C84*$B$8,2)</f>
        <v/>
      </c>
      <c r="G84" s="8">
        <f>ROUND(C84-E84,2)</f>
        <v/>
      </c>
    </row>
    <row r="85">
      <c r="A85" s="45">
        <f>A84+1</f>
        <v/>
      </c>
      <c r="B85" s="45">
        <f>ROUNDUP(A85/12,0)</f>
        <v/>
      </c>
      <c r="C85" s="8">
        <f>G84</f>
        <v/>
      </c>
      <c r="D85" s="8">
        <f>IF(A85&lt;=$B$7,F85,IF(OR(A85=$B$12,C85+F85&lt;=ROUND($B$10,2)),C85+F85,ROUND($B$10,2)))</f>
        <v/>
      </c>
      <c r="E85" s="8">
        <f>D85-F85</f>
        <v/>
      </c>
      <c r="F85" s="8">
        <f>ROUND(C85*$B$8,2)</f>
        <v/>
      </c>
      <c r="G85" s="8">
        <f>ROUND(C85-E85,2)</f>
        <v/>
      </c>
    </row>
    <row r="86">
      <c r="A86" s="45">
        <f>A85+1</f>
        <v/>
      </c>
      <c r="B86" s="45">
        <f>ROUNDUP(A86/12,0)</f>
        <v/>
      </c>
      <c r="C86" s="8">
        <f>G85</f>
        <v/>
      </c>
      <c r="D86" s="8">
        <f>IF(A86&lt;=$B$7,F86,IF(OR(A86=$B$12,C86+F86&lt;=ROUND($B$10,2)),C86+F86,ROUND($B$10,2)))</f>
        <v/>
      </c>
      <c r="E86" s="8">
        <f>D86-F86</f>
        <v/>
      </c>
      <c r="F86" s="8">
        <f>ROUND(C86*$B$8,2)</f>
        <v/>
      </c>
      <c r="G86" s="8">
        <f>ROUND(C86-E86,2)</f>
        <v/>
      </c>
    </row>
    <row r="87">
      <c r="A87" s="45">
        <f>A86+1</f>
        <v/>
      </c>
      <c r="B87" s="45">
        <f>ROUNDUP(A87/12,0)</f>
        <v/>
      </c>
      <c r="C87" s="8">
        <f>G86</f>
        <v/>
      </c>
      <c r="D87" s="8">
        <f>IF(A87&lt;=$B$7,F87,IF(OR(A87=$B$12,C87+F87&lt;=ROUND($B$10,2)),C87+F87,ROUND($B$10,2)))</f>
        <v/>
      </c>
      <c r="E87" s="8">
        <f>D87-F87</f>
        <v/>
      </c>
      <c r="F87" s="8">
        <f>ROUND(C87*$B$8,2)</f>
        <v/>
      </c>
      <c r="G87" s="8">
        <f>ROUND(C87-E87,2)</f>
        <v/>
      </c>
    </row>
    <row r="88">
      <c r="A88" s="45">
        <f>A87+1</f>
        <v/>
      </c>
      <c r="B88" s="45">
        <f>ROUNDUP(A88/12,0)</f>
        <v/>
      </c>
      <c r="C88" s="8">
        <f>G87</f>
        <v/>
      </c>
      <c r="D88" s="8">
        <f>IF(A88&lt;=$B$7,F88,IF(OR(A88=$B$12,C88+F88&lt;=ROUND($B$10,2)),C88+F88,ROUND($B$10,2)))</f>
        <v/>
      </c>
      <c r="E88" s="8">
        <f>D88-F88</f>
        <v/>
      </c>
      <c r="F88" s="8">
        <f>ROUND(C88*$B$8,2)</f>
        <v/>
      </c>
      <c r="G88" s="8">
        <f>ROUND(C88-E88,2)</f>
        <v/>
      </c>
    </row>
    <row r="89">
      <c r="A89" s="45">
        <f>A88+1</f>
        <v/>
      </c>
      <c r="B89" s="45">
        <f>ROUNDUP(A89/12,0)</f>
        <v/>
      </c>
      <c r="C89" s="8">
        <f>G88</f>
        <v/>
      </c>
      <c r="D89" s="8">
        <f>IF(A89&lt;=$B$7,F89,IF(OR(A89=$B$12,C89+F89&lt;=ROUND($B$10,2)),C89+F89,ROUND($B$10,2)))</f>
        <v/>
      </c>
      <c r="E89" s="8">
        <f>D89-F89</f>
        <v/>
      </c>
      <c r="F89" s="8">
        <f>ROUND(C89*$B$8,2)</f>
        <v/>
      </c>
      <c r="G89" s="8">
        <f>ROUND(C89-E89,2)</f>
        <v/>
      </c>
    </row>
    <row r="90">
      <c r="A90" s="45">
        <f>A89+1</f>
        <v/>
      </c>
      <c r="B90" s="45">
        <f>ROUNDUP(A90/12,0)</f>
        <v/>
      </c>
      <c r="C90" s="8">
        <f>G89</f>
        <v/>
      </c>
      <c r="D90" s="8">
        <f>IF(A90&lt;=$B$7,F90,IF(OR(A90=$B$12,C90+F90&lt;=ROUND($B$10,2)),C90+F90,ROUND($B$10,2)))</f>
        <v/>
      </c>
      <c r="E90" s="8">
        <f>D90-F90</f>
        <v/>
      </c>
      <c r="F90" s="8">
        <f>ROUND(C90*$B$8,2)</f>
        <v/>
      </c>
      <c r="G90" s="8">
        <f>ROUND(C90-E90,2)</f>
        <v/>
      </c>
    </row>
    <row r="91">
      <c r="A91" s="45">
        <f>A90+1</f>
        <v/>
      </c>
      <c r="B91" s="45">
        <f>ROUNDUP(A91/12,0)</f>
        <v/>
      </c>
      <c r="C91" s="8">
        <f>G90</f>
        <v/>
      </c>
      <c r="D91" s="8">
        <f>IF(A91&lt;=$B$7,F91,IF(OR(A91=$B$12,C91+F91&lt;=ROUND($B$10,2)),C91+F91,ROUND($B$10,2)))</f>
        <v/>
      </c>
      <c r="E91" s="8">
        <f>D91-F91</f>
        <v/>
      </c>
      <c r="F91" s="8">
        <f>ROUND(C91*$B$8,2)</f>
        <v/>
      </c>
      <c r="G91" s="8">
        <f>ROUND(C91-E91,2)</f>
        <v/>
      </c>
    </row>
    <row r="92">
      <c r="A92" s="45">
        <f>A91+1</f>
        <v/>
      </c>
      <c r="B92" s="45">
        <f>ROUNDUP(A92/12,0)</f>
        <v/>
      </c>
      <c r="C92" s="8">
        <f>G91</f>
        <v/>
      </c>
      <c r="D92" s="8">
        <f>IF(A92&lt;=$B$7,F92,IF(OR(A92=$B$12,C92+F92&lt;=ROUND($B$10,2)),C92+F92,ROUND($B$10,2)))</f>
        <v/>
      </c>
      <c r="E92" s="8">
        <f>D92-F92</f>
        <v/>
      </c>
      <c r="F92" s="8">
        <f>ROUND(C92*$B$8,2)</f>
        <v/>
      </c>
      <c r="G92" s="8">
        <f>ROUND(C92-E92,2)</f>
        <v/>
      </c>
    </row>
    <row r="93">
      <c r="A93" s="45">
        <f>A92+1</f>
        <v/>
      </c>
      <c r="B93" s="45">
        <f>ROUNDUP(A93/12,0)</f>
        <v/>
      </c>
      <c r="C93" s="8">
        <f>G92</f>
        <v/>
      </c>
      <c r="D93" s="8">
        <f>IF(A93&lt;=$B$7,F93,IF(OR(A93=$B$12,C93+F93&lt;=ROUND($B$10,2)),C93+F93,ROUND($B$10,2)))</f>
        <v/>
      </c>
      <c r="E93" s="8">
        <f>D93-F93</f>
        <v/>
      </c>
      <c r="F93" s="8">
        <f>ROUND(C93*$B$8,2)</f>
        <v/>
      </c>
      <c r="G93" s="8">
        <f>ROUND(C93-E93,2)</f>
        <v/>
      </c>
    </row>
    <row r="94">
      <c r="A94" s="45">
        <f>A93+1</f>
        <v/>
      </c>
      <c r="B94" s="45">
        <f>ROUNDUP(A94/12,0)</f>
        <v/>
      </c>
      <c r="C94" s="8">
        <f>G93</f>
        <v/>
      </c>
      <c r="D94" s="8">
        <f>IF(A94&lt;=$B$7,F94,IF(OR(A94=$B$12,C94+F94&lt;=ROUND($B$10,2)),C94+F94,ROUND($B$10,2)))</f>
        <v/>
      </c>
      <c r="E94" s="8">
        <f>D94-F94</f>
        <v/>
      </c>
      <c r="F94" s="8">
        <f>ROUND(C94*$B$8,2)</f>
        <v/>
      </c>
      <c r="G94" s="8">
        <f>ROUND(C94-E94,2)</f>
        <v/>
      </c>
    </row>
    <row r="95">
      <c r="A95" s="45">
        <f>A94+1</f>
        <v/>
      </c>
      <c r="B95" s="45">
        <f>ROUNDUP(A95/12,0)</f>
        <v/>
      </c>
      <c r="C95" s="8">
        <f>G94</f>
        <v/>
      </c>
      <c r="D95" s="8">
        <f>IF(A95&lt;=$B$7,F95,IF(OR(A95=$B$12,C95+F95&lt;=ROUND($B$10,2)),C95+F95,ROUND($B$10,2)))</f>
        <v/>
      </c>
      <c r="E95" s="8">
        <f>D95-F95</f>
        <v/>
      </c>
      <c r="F95" s="8">
        <f>ROUND(C95*$B$8,2)</f>
        <v/>
      </c>
      <c r="G95" s="8">
        <f>ROUND(C95-E95,2)</f>
        <v/>
      </c>
    </row>
    <row r="96">
      <c r="A96" s="45">
        <f>A95+1</f>
        <v/>
      </c>
      <c r="B96" s="45">
        <f>ROUNDUP(A96/12,0)</f>
        <v/>
      </c>
      <c r="C96" s="8">
        <f>G95</f>
        <v/>
      </c>
      <c r="D96" s="8">
        <f>IF(A96&lt;=$B$7,F96,IF(OR(A96=$B$12,C96+F96&lt;=ROUND($B$10,2)),C96+F96,ROUND($B$10,2)))</f>
        <v/>
      </c>
      <c r="E96" s="8">
        <f>D96-F96</f>
        <v/>
      </c>
      <c r="F96" s="8">
        <f>ROUND(C96*$B$8,2)</f>
        <v/>
      </c>
      <c r="G96" s="8">
        <f>ROUND(C96-E96,2)</f>
        <v/>
      </c>
    </row>
    <row r="97">
      <c r="A97" s="45">
        <f>A96+1</f>
        <v/>
      </c>
      <c r="B97" s="45">
        <f>ROUNDUP(A97/12,0)</f>
        <v/>
      </c>
      <c r="C97" s="8">
        <f>G96</f>
        <v/>
      </c>
      <c r="D97" s="8">
        <f>IF(A97&lt;=$B$7,F97,IF(OR(A97=$B$12,C97+F97&lt;=ROUND($B$10,2)),C97+F97,ROUND($B$10,2)))</f>
        <v/>
      </c>
      <c r="E97" s="8">
        <f>D97-F97</f>
        <v/>
      </c>
      <c r="F97" s="8">
        <f>ROUND(C97*$B$8,2)</f>
        <v/>
      </c>
      <c r="G97" s="8">
        <f>ROUND(C97-E97,2)</f>
        <v/>
      </c>
    </row>
    <row r="98">
      <c r="A98" s="45">
        <f>A97+1</f>
        <v/>
      </c>
      <c r="B98" s="45">
        <f>ROUNDUP(A98/12,0)</f>
        <v/>
      </c>
      <c r="C98" s="8">
        <f>G97</f>
        <v/>
      </c>
      <c r="D98" s="8">
        <f>IF(A98&lt;=$B$7,F98,IF(OR(A98=$B$12,C98+F98&lt;=ROUND($B$10,2)),C98+F98,ROUND($B$10,2)))</f>
        <v/>
      </c>
      <c r="E98" s="8">
        <f>D98-F98</f>
        <v/>
      </c>
      <c r="F98" s="8">
        <f>ROUND(C98*$B$8,2)</f>
        <v/>
      </c>
      <c r="G98" s="8">
        <f>ROUND(C98-E98,2)</f>
        <v/>
      </c>
    </row>
    <row r="99">
      <c r="A99" s="45">
        <f>A98+1</f>
        <v/>
      </c>
      <c r="B99" s="45">
        <f>ROUNDUP(A99/12,0)</f>
        <v/>
      </c>
      <c r="C99" s="8">
        <f>G98</f>
        <v/>
      </c>
      <c r="D99" s="8">
        <f>IF(A99&lt;=$B$7,F99,IF(OR(A99=$B$12,C99+F99&lt;=ROUND($B$10,2)),C99+F99,ROUND($B$10,2)))</f>
        <v/>
      </c>
      <c r="E99" s="8">
        <f>D99-F99</f>
        <v/>
      </c>
      <c r="F99" s="8">
        <f>ROUND(C99*$B$8,2)</f>
        <v/>
      </c>
      <c r="G99" s="8">
        <f>ROUND(C99-E99,2)</f>
        <v/>
      </c>
    </row>
    <row r="100">
      <c r="A100" s="45">
        <f>A99+1</f>
        <v/>
      </c>
      <c r="B100" s="45">
        <f>ROUNDUP(A100/12,0)</f>
        <v/>
      </c>
      <c r="C100" s="8">
        <f>G99</f>
        <v/>
      </c>
      <c r="D100" s="8">
        <f>IF(A100&lt;=$B$7,F100,IF(OR(A100=$B$12,C100+F100&lt;=ROUND($B$10,2)),C100+F100,ROUND($B$10,2)))</f>
        <v/>
      </c>
      <c r="E100" s="8">
        <f>D100-F100</f>
        <v/>
      </c>
      <c r="F100" s="8">
        <f>ROUND(C100*$B$8,2)</f>
        <v/>
      </c>
      <c r="G100" s="8">
        <f>ROUND(C100-E100,2)</f>
        <v/>
      </c>
    </row>
    <row r="101">
      <c r="A101" s="45">
        <f>A100+1</f>
        <v/>
      </c>
      <c r="B101" s="45">
        <f>ROUNDUP(A101/12,0)</f>
        <v/>
      </c>
      <c r="C101" s="8">
        <f>G100</f>
        <v/>
      </c>
      <c r="D101" s="8">
        <f>IF(A101&lt;=$B$7,F101,IF(OR(A101=$B$12,C101+F101&lt;=ROUND($B$10,2)),C101+F101,ROUND($B$10,2)))</f>
        <v/>
      </c>
      <c r="E101" s="8">
        <f>D101-F101</f>
        <v/>
      </c>
      <c r="F101" s="8">
        <f>ROUND(C101*$B$8,2)</f>
        <v/>
      </c>
      <c r="G101" s="8">
        <f>ROUND(C101-E101,2)</f>
        <v/>
      </c>
    </row>
    <row r="102">
      <c r="A102" s="45">
        <f>A101+1</f>
        <v/>
      </c>
      <c r="B102" s="45">
        <f>ROUNDUP(A102/12,0)</f>
        <v/>
      </c>
      <c r="C102" s="8">
        <f>G101</f>
        <v/>
      </c>
      <c r="D102" s="8">
        <f>IF(A102&lt;=$B$7,F102,IF(OR(A102=$B$12,C102+F102&lt;=ROUND($B$10,2)),C102+F102,ROUND($B$10,2)))</f>
        <v/>
      </c>
      <c r="E102" s="8">
        <f>D102-F102</f>
        <v/>
      </c>
      <c r="F102" s="8">
        <f>ROUND(C102*$B$8,2)</f>
        <v/>
      </c>
      <c r="G102" s="8">
        <f>ROUND(C102-E102,2)</f>
        <v/>
      </c>
    </row>
    <row r="103">
      <c r="A103" s="45">
        <f>A102+1</f>
        <v/>
      </c>
      <c r="B103" s="45">
        <f>ROUNDUP(A103/12,0)</f>
        <v/>
      </c>
      <c r="C103" s="8">
        <f>G102</f>
        <v/>
      </c>
      <c r="D103" s="8">
        <f>IF(A103&lt;=$B$7,F103,IF(OR(A103=$B$12,C103+F103&lt;=ROUND($B$10,2)),C103+F103,ROUND($B$10,2)))</f>
        <v/>
      </c>
      <c r="E103" s="8">
        <f>D103-F103</f>
        <v/>
      </c>
      <c r="F103" s="8">
        <f>ROUND(C103*$B$8,2)</f>
        <v/>
      </c>
      <c r="G103" s="8">
        <f>ROUND(C103-E103,2)</f>
        <v/>
      </c>
    </row>
    <row r="104">
      <c r="A104" s="45">
        <f>A103+1</f>
        <v/>
      </c>
      <c r="B104" s="45">
        <f>ROUNDUP(A104/12,0)</f>
        <v/>
      </c>
      <c r="C104" s="8">
        <f>G103</f>
        <v/>
      </c>
      <c r="D104" s="8">
        <f>IF(A104&lt;=$B$7,F104,IF(OR(A104=$B$12,C104+F104&lt;=ROUND($B$10,2)),C104+F104,ROUND($B$10,2)))</f>
        <v/>
      </c>
      <c r="E104" s="8">
        <f>D104-F104</f>
        <v/>
      </c>
      <c r="F104" s="8">
        <f>ROUND(C104*$B$8,2)</f>
        <v/>
      </c>
      <c r="G104" s="8">
        <f>ROUND(C104-E104,2)</f>
        <v/>
      </c>
    </row>
    <row r="105">
      <c r="A105" s="45">
        <f>A104+1</f>
        <v/>
      </c>
      <c r="B105" s="45">
        <f>ROUNDUP(A105/12,0)</f>
        <v/>
      </c>
      <c r="C105" s="8">
        <f>G104</f>
        <v/>
      </c>
      <c r="D105" s="8">
        <f>IF(A105&lt;=$B$7,F105,IF(OR(A105=$B$12,C105+F105&lt;=ROUND($B$10,2)),C105+F105,ROUND($B$10,2)))</f>
        <v/>
      </c>
      <c r="E105" s="8">
        <f>D105-F105</f>
        <v/>
      </c>
      <c r="F105" s="8">
        <f>ROUND(C105*$B$8,2)</f>
        <v/>
      </c>
      <c r="G105" s="8">
        <f>ROUND(C105-E105,2)</f>
        <v/>
      </c>
    </row>
    <row r="106">
      <c r="A106" s="45">
        <f>A105+1</f>
        <v/>
      </c>
      <c r="B106" s="45">
        <f>ROUNDUP(A106/12,0)</f>
        <v/>
      </c>
      <c r="C106" s="8">
        <f>G105</f>
        <v/>
      </c>
      <c r="D106" s="8">
        <f>IF(A106&lt;=$B$7,F106,IF(OR(A106=$B$12,C106+F106&lt;=ROUND($B$10,2)),C106+F106,ROUND($B$10,2)))</f>
        <v/>
      </c>
      <c r="E106" s="8">
        <f>D106-F106</f>
        <v/>
      </c>
      <c r="F106" s="8">
        <f>ROUND(C106*$B$8,2)</f>
        <v/>
      </c>
      <c r="G106" s="8">
        <f>ROUND(C106-E106,2)</f>
        <v/>
      </c>
    </row>
    <row r="107">
      <c r="A107" s="45">
        <f>A106+1</f>
        <v/>
      </c>
      <c r="B107" s="45">
        <f>ROUNDUP(A107/12,0)</f>
        <v/>
      </c>
      <c r="C107" s="8">
        <f>G106</f>
        <v/>
      </c>
      <c r="D107" s="8">
        <f>IF(A107&lt;=$B$7,F107,IF(OR(A107=$B$12,C107+F107&lt;=ROUND($B$10,2)),C107+F107,ROUND($B$10,2)))</f>
        <v/>
      </c>
      <c r="E107" s="8">
        <f>D107-F107</f>
        <v/>
      </c>
      <c r="F107" s="8">
        <f>ROUND(C107*$B$8,2)</f>
        <v/>
      </c>
      <c r="G107" s="8">
        <f>ROUND(C107-E107,2)</f>
        <v/>
      </c>
    </row>
    <row r="108">
      <c r="A108" s="45">
        <f>A107+1</f>
        <v/>
      </c>
      <c r="B108" s="45">
        <f>ROUNDUP(A108/12,0)</f>
        <v/>
      </c>
      <c r="C108" s="8">
        <f>G107</f>
        <v/>
      </c>
      <c r="D108" s="8">
        <f>IF(A108&lt;=$B$7,F108,IF(OR(A108=$B$12,C108+F108&lt;=ROUND($B$10,2)),C108+F108,ROUND($B$10,2)))</f>
        <v/>
      </c>
      <c r="E108" s="8">
        <f>D108-F108</f>
        <v/>
      </c>
      <c r="F108" s="8">
        <f>ROUND(C108*$B$8,2)</f>
        <v/>
      </c>
      <c r="G108" s="8">
        <f>ROUND(C108-E108,2)</f>
        <v/>
      </c>
    </row>
    <row r="109">
      <c r="A109" s="45">
        <f>A108+1</f>
        <v/>
      </c>
      <c r="B109" s="45">
        <f>ROUNDUP(A109/12,0)</f>
        <v/>
      </c>
      <c r="C109" s="8">
        <f>G108</f>
        <v/>
      </c>
      <c r="D109" s="8">
        <f>IF(A109&lt;=$B$7,F109,IF(OR(A109=$B$12,C109+F109&lt;=ROUND($B$10,2)),C109+F109,ROUND($B$10,2)))</f>
        <v/>
      </c>
      <c r="E109" s="8">
        <f>D109-F109</f>
        <v/>
      </c>
      <c r="F109" s="8">
        <f>ROUND(C109*$B$8,2)</f>
        <v/>
      </c>
      <c r="G109" s="8">
        <f>ROUND(C109-E109,2)</f>
        <v/>
      </c>
    </row>
    <row r="110">
      <c r="A110" s="45">
        <f>A109+1</f>
        <v/>
      </c>
      <c r="B110" s="45">
        <f>ROUNDUP(A110/12,0)</f>
        <v/>
      </c>
      <c r="C110" s="8">
        <f>G109</f>
        <v/>
      </c>
      <c r="D110" s="8">
        <f>IF(A110&lt;=$B$7,F110,IF(OR(A110=$B$12,C110+F110&lt;=ROUND($B$10,2)),C110+F110,ROUND($B$10,2)))</f>
        <v/>
      </c>
      <c r="E110" s="8">
        <f>D110-F110</f>
        <v/>
      </c>
      <c r="F110" s="8">
        <f>ROUND(C110*$B$8,2)</f>
        <v/>
      </c>
      <c r="G110" s="8">
        <f>ROUND(C110-E110,2)</f>
        <v/>
      </c>
    </row>
    <row r="111">
      <c r="A111" s="45">
        <f>A110+1</f>
        <v/>
      </c>
      <c r="B111" s="45">
        <f>ROUNDUP(A111/12,0)</f>
        <v/>
      </c>
      <c r="C111" s="8">
        <f>G110</f>
        <v/>
      </c>
      <c r="D111" s="8">
        <f>IF(A111&lt;=$B$7,F111,IF(OR(A111=$B$12,C111+F111&lt;=ROUND($B$10,2)),C111+F111,ROUND($B$10,2)))</f>
        <v/>
      </c>
      <c r="E111" s="8">
        <f>D111-F111</f>
        <v/>
      </c>
      <c r="F111" s="8">
        <f>ROUND(C111*$B$8,2)</f>
        <v/>
      </c>
      <c r="G111" s="8">
        <f>ROUND(C111-E111,2)</f>
        <v/>
      </c>
    </row>
    <row r="112">
      <c r="A112" s="45">
        <f>A111+1</f>
        <v/>
      </c>
      <c r="B112" s="45">
        <f>ROUNDUP(A112/12,0)</f>
        <v/>
      </c>
      <c r="C112" s="8">
        <f>G111</f>
        <v/>
      </c>
      <c r="D112" s="8">
        <f>IF(A112&lt;=$B$7,F112,IF(OR(A112=$B$12,C112+F112&lt;=ROUND($B$10,2)),C112+F112,ROUND($B$10,2)))</f>
        <v/>
      </c>
      <c r="E112" s="8">
        <f>D112-F112</f>
        <v/>
      </c>
      <c r="F112" s="8">
        <f>ROUND(C112*$B$8,2)</f>
        <v/>
      </c>
      <c r="G112" s="8">
        <f>ROUND(C112-E112,2)</f>
        <v/>
      </c>
    </row>
    <row r="113">
      <c r="A113" s="45">
        <f>A112+1</f>
        <v/>
      </c>
      <c r="B113" s="45">
        <f>ROUNDUP(A113/12,0)</f>
        <v/>
      </c>
      <c r="C113" s="8">
        <f>G112</f>
        <v/>
      </c>
      <c r="D113" s="8">
        <f>IF(A113&lt;=$B$7,F113,IF(OR(A113=$B$12,C113+F113&lt;=ROUND($B$10,2)),C113+F113,ROUND($B$10,2)))</f>
        <v/>
      </c>
      <c r="E113" s="8">
        <f>D113-F113</f>
        <v/>
      </c>
      <c r="F113" s="8">
        <f>ROUND(C113*$B$8,2)</f>
        <v/>
      </c>
      <c r="G113" s="8">
        <f>ROUND(C113-E113,2)</f>
        <v/>
      </c>
    </row>
    <row r="114">
      <c r="A114" s="45">
        <f>A113+1</f>
        <v/>
      </c>
      <c r="B114" s="45">
        <f>ROUNDUP(A114/12,0)</f>
        <v/>
      </c>
      <c r="C114" s="8">
        <f>G113</f>
        <v/>
      </c>
      <c r="D114" s="8">
        <f>IF(A114&lt;=$B$7,F114,IF(OR(A114=$B$12,C114+F114&lt;=ROUND($B$10,2)),C114+F114,ROUND($B$10,2)))</f>
        <v/>
      </c>
      <c r="E114" s="8">
        <f>D114-F114</f>
        <v/>
      </c>
      <c r="F114" s="8">
        <f>ROUND(C114*$B$8,2)</f>
        <v/>
      </c>
      <c r="G114" s="8">
        <f>ROUND(C114-E114,2)</f>
        <v/>
      </c>
    </row>
    <row r="115">
      <c r="A115" s="45">
        <f>A114+1</f>
        <v/>
      </c>
      <c r="B115" s="45">
        <f>ROUNDUP(A115/12,0)</f>
        <v/>
      </c>
      <c r="C115" s="8">
        <f>G114</f>
        <v/>
      </c>
      <c r="D115" s="8">
        <f>IF(A115&lt;=$B$7,F115,IF(OR(A115=$B$12,C115+F115&lt;=ROUND($B$10,2)),C115+F115,ROUND($B$10,2)))</f>
        <v/>
      </c>
      <c r="E115" s="8">
        <f>D115-F115</f>
        <v/>
      </c>
      <c r="F115" s="8">
        <f>ROUND(C115*$B$8,2)</f>
        <v/>
      </c>
      <c r="G115" s="8">
        <f>ROUND(C115-E115,2)</f>
        <v/>
      </c>
    </row>
    <row r="116">
      <c r="A116" s="45">
        <f>A115+1</f>
        <v/>
      </c>
      <c r="B116" s="45">
        <f>ROUNDUP(A116/12,0)</f>
        <v/>
      </c>
      <c r="C116" s="8">
        <f>G115</f>
        <v/>
      </c>
      <c r="D116" s="8">
        <f>IF(A116&lt;=$B$7,F116,IF(OR(A116=$B$12,C116+F116&lt;=ROUND($B$10,2)),C116+F116,ROUND($B$10,2)))</f>
        <v/>
      </c>
      <c r="E116" s="8">
        <f>D116-F116</f>
        <v/>
      </c>
      <c r="F116" s="8">
        <f>ROUND(C116*$B$8,2)</f>
        <v/>
      </c>
      <c r="G116" s="8">
        <f>ROUND(C116-E116,2)</f>
        <v/>
      </c>
    </row>
    <row r="117">
      <c r="A117" s="45">
        <f>A116+1</f>
        <v/>
      </c>
      <c r="B117" s="45">
        <f>ROUNDUP(A117/12,0)</f>
        <v/>
      </c>
      <c r="C117" s="8">
        <f>G116</f>
        <v/>
      </c>
      <c r="D117" s="8">
        <f>IF(A117&lt;=$B$7,F117,IF(OR(A117=$B$12,C117+F117&lt;=ROUND($B$10,2)),C117+F117,ROUND($B$10,2)))</f>
        <v/>
      </c>
      <c r="E117" s="8">
        <f>D117-F117</f>
        <v/>
      </c>
      <c r="F117" s="8">
        <f>ROUND(C117*$B$8,2)</f>
        <v/>
      </c>
      <c r="G117" s="8">
        <f>ROUND(C117-E117,2)</f>
        <v/>
      </c>
    </row>
    <row r="118">
      <c r="A118" s="45">
        <f>A117+1</f>
        <v/>
      </c>
      <c r="B118" s="45">
        <f>ROUNDUP(A118/12,0)</f>
        <v/>
      </c>
      <c r="C118" s="8">
        <f>G117</f>
        <v/>
      </c>
      <c r="D118" s="8">
        <f>IF(A118&lt;=$B$7,F118,IF(OR(A118=$B$12,C118+F118&lt;=ROUND($B$10,2)),C118+F118,ROUND($B$10,2)))</f>
        <v/>
      </c>
      <c r="E118" s="8">
        <f>D118-F118</f>
        <v/>
      </c>
      <c r="F118" s="8">
        <f>ROUND(C118*$B$8,2)</f>
        <v/>
      </c>
      <c r="G118" s="8">
        <f>ROUND(C118-E118,2)</f>
        <v/>
      </c>
    </row>
    <row r="119">
      <c r="A119" s="45">
        <f>A118+1</f>
        <v/>
      </c>
      <c r="B119" s="45">
        <f>ROUNDUP(A119/12,0)</f>
        <v/>
      </c>
      <c r="C119" s="8">
        <f>G118</f>
        <v/>
      </c>
      <c r="D119" s="8">
        <f>IF(A119&lt;=$B$7,F119,IF(OR(A119=$B$12,C119+F119&lt;=ROUND($B$10,2)),C119+F119,ROUND($B$10,2)))</f>
        <v/>
      </c>
      <c r="E119" s="8">
        <f>D119-F119</f>
        <v/>
      </c>
      <c r="F119" s="8">
        <f>ROUND(C119*$B$8,2)</f>
        <v/>
      </c>
      <c r="G119" s="8">
        <f>ROUND(C119-E119,2)</f>
        <v/>
      </c>
    </row>
    <row r="120">
      <c r="A120" s="45">
        <f>A119+1</f>
        <v/>
      </c>
      <c r="B120" s="45">
        <f>ROUNDUP(A120/12,0)</f>
        <v/>
      </c>
      <c r="C120" s="8">
        <f>G119</f>
        <v/>
      </c>
      <c r="D120" s="8">
        <f>IF(A120&lt;=$B$7,F120,IF(OR(A120=$B$12,C120+F120&lt;=ROUND($B$10,2)),C120+F120,ROUND($B$10,2)))</f>
        <v/>
      </c>
      <c r="E120" s="8">
        <f>D120-F120</f>
        <v/>
      </c>
      <c r="F120" s="8">
        <f>ROUND(C120*$B$8,2)</f>
        <v/>
      </c>
      <c r="G120" s="8">
        <f>ROUND(C120-E120,2)</f>
        <v/>
      </c>
    </row>
    <row r="121">
      <c r="A121" s="45">
        <f>A120+1</f>
        <v/>
      </c>
      <c r="B121" s="45">
        <f>ROUNDUP(A121/12,0)</f>
        <v/>
      </c>
      <c r="C121" s="8">
        <f>G120</f>
        <v/>
      </c>
      <c r="D121" s="8">
        <f>IF(A121&lt;=$B$7,F121,IF(OR(A121=$B$12,C121+F121&lt;=ROUND($B$10,2)),C121+F121,ROUND($B$10,2)))</f>
        <v/>
      </c>
      <c r="E121" s="8">
        <f>D121-F121</f>
        <v/>
      </c>
      <c r="F121" s="8">
        <f>ROUND(C121*$B$8,2)</f>
        <v/>
      </c>
      <c r="G121" s="8">
        <f>ROUND(C121-E121,2)</f>
        <v/>
      </c>
    </row>
    <row r="122">
      <c r="A122" s="45">
        <f>A121+1</f>
        <v/>
      </c>
      <c r="B122" s="45">
        <f>ROUNDUP(A122/12,0)</f>
        <v/>
      </c>
      <c r="C122" s="8">
        <f>G121</f>
        <v/>
      </c>
      <c r="D122" s="8">
        <f>IF(A122&lt;=$B$7,F122,IF(OR(A122=$B$12,C122+F122&lt;=ROUND($B$10,2)),C122+F122,ROUND($B$10,2)))</f>
        <v/>
      </c>
      <c r="E122" s="8">
        <f>D122-F122</f>
        <v/>
      </c>
      <c r="F122" s="8">
        <f>ROUND(C122*$B$8,2)</f>
        <v/>
      </c>
      <c r="G122" s="8">
        <f>ROUND(C122-E122,2)</f>
        <v/>
      </c>
    </row>
    <row r="123">
      <c r="A123" s="45">
        <f>A122+1</f>
        <v/>
      </c>
      <c r="B123" s="45">
        <f>ROUNDUP(A123/12,0)</f>
        <v/>
      </c>
      <c r="C123" s="8">
        <f>G122</f>
        <v/>
      </c>
      <c r="D123" s="8">
        <f>IF(A123&lt;=$B$7,F123,IF(OR(A123=$B$12,C123+F123&lt;=ROUND($B$10,2)),C123+F123,ROUND($B$10,2)))</f>
        <v/>
      </c>
      <c r="E123" s="8">
        <f>D123-F123</f>
        <v/>
      </c>
      <c r="F123" s="8">
        <f>ROUND(C123*$B$8,2)</f>
        <v/>
      </c>
      <c r="G123" s="8">
        <f>ROUND(C123-E123,2)</f>
        <v/>
      </c>
    </row>
    <row r="124">
      <c r="A124" s="45">
        <f>A123+1</f>
        <v/>
      </c>
      <c r="B124" s="45">
        <f>ROUNDUP(A124/12,0)</f>
        <v/>
      </c>
      <c r="C124" s="8">
        <f>G123</f>
        <v/>
      </c>
      <c r="D124" s="8">
        <f>IF(A124&lt;=$B$7,F124,IF(OR(A124=$B$12,C124+F124&lt;=ROUND($B$10,2)),C124+F124,ROUND($B$10,2)))</f>
        <v/>
      </c>
      <c r="E124" s="8">
        <f>D124-F124</f>
        <v/>
      </c>
      <c r="F124" s="8">
        <f>ROUND(C124*$B$8,2)</f>
        <v/>
      </c>
      <c r="G124" s="8">
        <f>ROUND(C124-E124,2)</f>
        <v/>
      </c>
    </row>
    <row r="125">
      <c r="A125" s="45">
        <f>A124+1</f>
        <v/>
      </c>
      <c r="B125" s="45">
        <f>ROUNDUP(A125/12,0)</f>
        <v/>
      </c>
      <c r="C125" s="8">
        <f>G124</f>
        <v/>
      </c>
      <c r="D125" s="8">
        <f>IF(A125&lt;=$B$7,F125,IF(OR(A125=$B$12,C125+F125&lt;=ROUND($B$10,2)),C125+F125,ROUND($B$10,2)))</f>
        <v/>
      </c>
      <c r="E125" s="8">
        <f>D125-F125</f>
        <v/>
      </c>
      <c r="F125" s="8">
        <f>ROUND(C125*$B$8,2)</f>
        <v/>
      </c>
      <c r="G125" s="8">
        <f>ROUND(C125-E125,2)</f>
        <v/>
      </c>
    </row>
    <row r="126">
      <c r="A126" s="45">
        <f>A125+1</f>
        <v/>
      </c>
      <c r="B126" s="45">
        <f>ROUNDUP(A126/12,0)</f>
        <v/>
      </c>
      <c r="C126" s="8">
        <f>G125</f>
        <v/>
      </c>
      <c r="D126" s="8">
        <f>IF(A126&lt;=$B$7,F126,IF(OR(A126=$B$12,C126+F126&lt;=ROUND($B$10,2)),C126+F126,ROUND($B$10,2)))</f>
        <v/>
      </c>
      <c r="E126" s="8">
        <f>D126-F126</f>
        <v/>
      </c>
      <c r="F126" s="8">
        <f>ROUND(C126*$B$8,2)</f>
        <v/>
      </c>
      <c r="G126" s="8">
        <f>ROUND(C126-E126,2)</f>
        <v/>
      </c>
    </row>
    <row r="127">
      <c r="A127" s="45">
        <f>A126+1</f>
        <v/>
      </c>
      <c r="B127" s="45">
        <f>ROUNDUP(A127/12,0)</f>
        <v/>
      </c>
      <c r="C127" s="8">
        <f>G126</f>
        <v/>
      </c>
      <c r="D127" s="8">
        <f>IF(A127&lt;=$B$7,F127,IF(OR(A127=$B$12,C127+F127&lt;=ROUND($B$10,2)),C127+F127,ROUND($B$10,2)))</f>
        <v/>
      </c>
      <c r="E127" s="8">
        <f>D127-F127</f>
        <v/>
      </c>
      <c r="F127" s="8">
        <f>ROUND(C127*$B$8,2)</f>
        <v/>
      </c>
      <c r="G127" s="8">
        <f>ROUND(C127-E127,2)</f>
        <v/>
      </c>
    </row>
    <row r="128">
      <c r="A128" s="45">
        <f>A127+1</f>
        <v/>
      </c>
      <c r="B128" s="45">
        <f>ROUNDUP(A128/12,0)</f>
        <v/>
      </c>
      <c r="C128" s="8">
        <f>G127</f>
        <v/>
      </c>
      <c r="D128" s="8">
        <f>IF(A128&lt;=$B$7,F128,IF(OR(A128=$B$12,C128+F128&lt;=ROUND($B$10,2)),C128+F128,ROUND($B$10,2)))</f>
        <v/>
      </c>
      <c r="E128" s="8">
        <f>D128-F128</f>
        <v/>
      </c>
      <c r="F128" s="8">
        <f>ROUND(C128*$B$8,2)</f>
        <v/>
      </c>
      <c r="G128" s="8">
        <f>ROUND(C128-E128,2)</f>
        <v/>
      </c>
    </row>
    <row r="129">
      <c r="A129" s="45">
        <f>A128+1</f>
        <v/>
      </c>
      <c r="B129" s="45">
        <f>ROUNDUP(A129/12,0)</f>
        <v/>
      </c>
      <c r="C129" s="8">
        <f>G128</f>
        <v/>
      </c>
      <c r="D129" s="8">
        <f>IF(A129&lt;=$B$7,F129,IF(OR(A129=$B$12,C129+F129&lt;=ROUND($B$10,2)),C129+F129,ROUND($B$10,2)))</f>
        <v/>
      </c>
      <c r="E129" s="8">
        <f>D129-F129</f>
        <v/>
      </c>
      <c r="F129" s="8">
        <f>ROUND(C129*$B$8,2)</f>
        <v/>
      </c>
      <c r="G129" s="8">
        <f>ROUND(C129-E129,2)</f>
        <v/>
      </c>
    </row>
    <row r="130">
      <c r="A130" s="45">
        <f>A129+1</f>
        <v/>
      </c>
      <c r="B130" s="45">
        <f>ROUNDUP(A130/12,0)</f>
        <v/>
      </c>
      <c r="C130" s="8">
        <f>G129</f>
        <v/>
      </c>
      <c r="D130" s="8">
        <f>IF(A130&lt;=$B$7,F130,IF(OR(A130=$B$12,C130+F130&lt;=ROUND($B$10,2)),C130+F130,ROUND($B$10,2)))</f>
        <v/>
      </c>
      <c r="E130" s="8">
        <f>D130-F130</f>
        <v/>
      </c>
      <c r="F130" s="8">
        <f>ROUND(C130*$B$8,2)</f>
        <v/>
      </c>
      <c r="G130" s="8">
        <f>ROUND(C130-E130,2)</f>
        <v/>
      </c>
    </row>
    <row r="131">
      <c r="A131" s="45">
        <f>A130+1</f>
        <v/>
      </c>
      <c r="B131" s="45">
        <f>ROUNDUP(A131/12,0)</f>
        <v/>
      </c>
      <c r="C131" s="8">
        <f>G130</f>
        <v/>
      </c>
      <c r="D131" s="8">
        <f>IF(A131&lt;=$B$7,F131,IF(OR(A131=$B$12,C131+F131&lt;=ROUND($B$10,2)),C131+F131,ROUND($B$10,2)))</f>
        <v/>
      </c>
      <c r="E131" s="8">
        <f>D131-F131</f>
        <v/>
      </c>
      <c r="F131" s="8">
        <f>ROUND(C131*$B$8,2)</f>
        <v/>
      </c>
      <c r="G131" s="8">
        <f>ROUND(C131-E131,2)</f>
        <v/>
      </c>
    </row>
    <row r="132">
      <c r="A132" s="45">
        <f>A131+1</f>
        <v/>
      </c>
      <c r="B132" s="45">
        <f>ROUNDUP(A132/12,0)</f>
        <v/>
      </c>
      <c r="C132" s="8">
        <f>G131</f>
        <v/>
      </c>
      <c r="D132" s="8">
        <f>IF(A132&lt;=$B$7,F132,IF(OR(A132=$B$12,C132+F132&lt;=ROUND($B$10,2)),C132+F132,ROUND($B$10,2)))</f>
        <v/>
      </c>
      <c r="E132" s="8">
        <f>D132-F132</f>
        <v/>
      </c>
      <c r="F132" s="8">
        <f>ROUND(C132*$B$8,2)</f>
        <v/>
      </c>
      <c r="G132" s="8">
        <f>ROUND(C132-E132,2)</f>
        <v/>
      </c>
    </row>
    <row r="133">
      <c r="A133" s="45">
        <f>A132+1</f>
        <v/>
      </c>
      <c r="B133" s="45">
        <f>ROUNDUP(A133/12,0)</f>
        <v/>
      </c>
      <c r="C133" s="8">
        <f>G132</f>
        <v/>
      </c>
      <c r="D133" s="8">
        <f>IF(A133&lt;=$B$7,F133,IF(OR(A133=$B$12,C133+F133&lt;=ROUND($B$10,2)),C133+F133,ROUND($B$10,2)))</f>
        <v/>
      </c>
      <c r="E133" s="8">
        <f>D133-F133</f>
        <v/>
      </c>
      <c r="F133" s="8">
        <f>ROUND(C133*$B$8,2)</f>
        <v/>
      </c>
      <c r="G133" s="8">
        <f>ROUND(C133-E133,2)</f>
        <v/>
      </c>
    </row>
    <row r="134">
      <c r="A134" s="45">
        <f>A133+1</f>
        <v/>
      </c>
      <c r="B134" s="45">
        <f>ROUNDUP(A134/12,0)</f>
        <v/>
      </c>
      <c r="C134" s="8">
        <f>G133</f>
        <v/>
      </c>
      <c r="D134" s="8">
        <f>IF(A134&lt;=$B$7,F134,IF(OR(A134=$B$12,C134+F134&lt;=ROUND($B$10,2)),C134+F134,ROUND($B$10,2)))</f>
        <v/>
      </c>
      <c r="E134" s="8">
        <f>D134-F134</f>
        <v/>
      </c>
      <c r="F134" s="8">
        <f>ROUND(C134*$B$8,2)</f>
        <v/>
      </c>
      <c r="G134" s="8">
        <f>ROUND(C134-E134,2)</f>
        <v/>
      </c>
    </row>
    <row r="135">
      <c r="A135" s="45">
        <f>A134+1</f>
        <v/>
      </c>
      <c r="B135" s="45">
        <f>ROUNDUP(A135/12,0)</f>
        <v/>
      </c>
      <c r="C135" s="8">
        <f>G134</f>
        <v/>
      </c>
      <c r="D135" s="8">
        <f>IF(A135&lt;=$B$7,F135,IF(OR(A135=$B$12,C135+F135&lt;=ROUND($B$10,2)),C135+F135,ROUND($B$10,2)))</f>
        <v/>
      </c>
      <c r="E135" s="8">
        <f>D135-F135</f>
        <v/>
      </c>
      <c r="F135" s="8">
        <f>ROUND(C135*$B$8,2)</f>
        <v/>
      </c>
      <c r="G135" s="8">
        <f>ROUND(C135-E135,2)</f>
        <v/>
      </c>
    </row>
    <row r="136">
      <c r="A136" s="45">
        <f>A135+1</f>
        <v/>
      </c>
      <c r="B136" s="45">
        <f>ROUNDUP(A136/12,0)</f>
        <v/>
      </c>
      <c r="C136" s="8">
        <f>G135</f>
        <v/>
      </c>
      <c r="D136" s="8">
        <f>IF(A136&lt;=$B$7,F136,IF(OR(A136=$B$12,C136+F136&lt;=ROUND($B$10,2)),C136+F136,ROUND($B$10,2)))</f>
        <v/>
      </c>
      <c r="E136" s="8">
        <f>D136-F136</f>
        <v/>
      </c>
      <c r="F136" s="8">
        <f>ROUND(C136*$B$8,2)</f>
        <v/>
      </c>
      <c r="G136" s="8">
        <f>ROUND(C136-E136,2)</f>
        <v/>
      </c>
    </row>
    <row r="137">
      <c r="A137" s="45">
        <f>A136+1</f>
        <v/>
      </c>
      <c r="B137" s="45">
        <f>ROUNDUP(A137/12,0)</f>
        <v/>
      </c>
      <c r="C137" s="8">
        <f>G136</f>
        <v/>
      </c>
      <c r="D137" s="8">
        <f>IF(A137&lt;=$B$7,F137,IF(OR(A137=$B$12,C137+F137&lt;=ROUND($B$10,2)),C137+F137,ROUND($B$10,2)))</f>
        <v/>
      </c>
      <c r="E137" s="8">
        <f>D137-F137</f>
        <v/>
      </c>
      <c r="F137" s="8">
        <f>ROUND(C137*$B$8,2)</f>
        <v/>
      </c>
      <c r="G137" s="8">
        <f>ROUND(C137-E137,2)</f>
        <v/>
      </c>
    </row>
    <row r="138">
      <c r="A138" s="45">
        <f>A137+1</f>
        <v/>
      </c>
      <c r="B138" s="45">
        <f>ROUNDUP(A138/12,0)</f>
        <v/>
      </c>
      <c r="C138" s="8">
        <f>G137</f>
        <v/>
      </c>
      <c r="D138" s="8">
        <f>IF(A138&lt;=$B$7,F138,IF(OR(A138=$B$12,C138+F138&lt;=ROUND($B$10,2)),C138+F138,ROUND($B$10,2)))</f>
        <v/>
      </c>
      <c r="E138" s="8">
        <f>D138-F138</f>
        <v/>
      </c>
      <c r="F138" s="8">
        <f>ROUND(C138*$B$8,2)</f>
        <v/>
      </c>
      <c r="G138" s="8">
        <f>ROUND(C138-E138,2)</f>
        <v/>
      </c>
    </row>
    <row r="139">
      <c r="A139" s="45">
        <f>A138+1</f>
        <v/>
      </c>
      <c r="B139" s="45">
        <f>ROUNDUP(A139/12,0)</f>
        <v/>
      </c>
      <c r="C139" s="8">
        <f>G138</f>
        <v/>
      </c>
      <c r="D139" s="8">
        <f>IF(A139&lt;=$B$7,F139,IF(OR(A139=$B$12,C139+F139&lt;=ROUND($B$10,2)),C139+F139,ROUND($B$10,2)))</f>
        <v/>
      </c>
      <c r="E139" s="8">
        <f>D139-F139</f>
        <v/>
      </c>
      <c r="F139" s="8">
        <f>ROUND(C139*$B$8,2)</f>
        <v/>
      </c>
      <c r="G139" s="8">
        <f>ROUND(C139-E139,2)</f>
        <v/>
      </c>
    </row>
    <row r="140">
      <c r="A140" s="45">
        <f>A139+1</f>
        <v/>
      </c>
      <c r="B140" s="45">
        <f>ROUNDUP(A140/12,0)</f>
        <v/>
      </c>
      <c r="C140" s="8">
        <f>G139</f>
        <v/>
      </c>
      <c r="D140" s="8">
        <f>IF(A140&lt;=$B$7,F140,IF(OR(A140=$B$12,C140+F140&lt;=ROUND($B$10,2)),C140+F140,ROUND($B$10,2)))</f>
        <v/>
      </c>
      <c r="E140" s="8">
        <f>D140-F140</f>
        <v/>
      </c>
      <c r="F140" s="8">
        <f>ROUND(C140*$B$8,2)</f>
        <v/>
      </c>
      <c r="G140" s="8">
        <f>ROUND(C140-E140,2)</f>
        <v/>
      </c>
    </row>
    <row r="141">
      <c r="A141" s="45">
        <f>A140+1</f>
        <v/>
      </c>
      <c r="B141" s="45">
        <f>ROUNDUP(A141/12,0)</f>
        <v/>
      </c>
      <c r="C141" s="8">
        <f>G140</f>
        <v/>
      </c>
      <c r="D141" s="8">
        <f>IF(A141&lt;=$B$7,F141,IF(OR(A141=$B$12,C141+F141&lt;=ROUND($B$10,2)),C141+F141,ROUND($B$10,2)))</f>
        <v/>
      </c>
      <c r="E141" s="8">
        <f>D141-F141</f>
        <v/>
      </c>
      <c r="F141" s="8">
        <f>ROUND(C141*$B$8,2)</f>
        <v/>
      </c>
      <c r="G141" s="8">
        <f>ROUND(C141-E141,2)</f>
        <v/>
      </c>
    </row>
    <row r="142">
      <c r="A142" s="45">
        <f>A141+1</f>
        <v/>
      </c>
      <c r="B142" s="45">
        <f>ROUNDUP(A142/12,0)</f>
        <v/>
      </c>
      <c r="C142" s="8">
        <f>G141</f>
        <v/>
      </c>
      <c r="D142" s="8">
        <f>IF(A142&lt;=$B$7,F142,IF(OR(A142=$B$12,C142+F142&lt;=ROUND($B$10,2)),C142+F142,ROUND($B$10,2)))</f>
        <v/>
      </c>
      <c r="E142" s="8">
        <f>D142-F142</f>
        <v/>
      </c>
      <c r="F142" s="8">
        <f>ROUND(C142*$B$8,2)</f>
        <v/>
      </c>
      <c r="G142" s="8">
        <f>ROUND(C142-E142,2)</f>
        <v/>
      </c>
    </row>
    <row r="143">
      <c r="A143" s="45">
        <f>A142+1</f>
        <v/>
      </c>
      <c r="B143" s="45">
        <f>ROUNDUP(A143/12,0)</f>
        <v/>
      </c>
      <c r="C143" s="8">
        <f>G142</f>
        <v/>
      </c>
      <c r="D143" s="8">
        <f>IF(A143&lt;=$B$7,F143,IF(OR(A143=$B$12,C143+F143&lt;=ROUND($B$10,2)),C143+F143,ROUND($B$10,2)))</f>
        <v/>
      </c>
      <c r="E143" s="8">
        <f>D143-F143</f>
        <v/>
      </c>
      <c r="F143" s="8">
        <f>ROUND(C143*$B$8,2)</f>
        <v/>
      </c>
      <c r="G143" s="8">
        <f>ROUND(C143-E143,2)</f>
        <v/>
      </c>
    </row>
    <row r="144">
      <c r="A144" s="45">
        <f>A143+1</f>
        <v/>
      </c>
      <c r="B144" s="45">
        <f>ROUNDUP(A144/12,0)</f>
        <v/>
      </c>
      <c r="C144" s="8">
        <f>G143</f>
        <v/>
      </c>
      <c r="D144" s="8">
        <f>IF(A144&lt;=$B$7,F144,IF(OR(A144=$B$12,C144+F144&lt;=ROUND($B$10,2)),C144+F144,ROUND($B$10,2)))</f>
        <v/>
      </c>
      <c r="E144" s="8">
        <f>D144-F144</f>
        <v/>
      </c>
      <c r="F144" s="8">
        <f>ROUND(C144*$B$8,2)</f>
        <v/>
      </c>
      <c r="G144" s="8">
        <f>ROUND(C144-E144,2)</f>
        <v/>
      </c>
    </row>
    <row r="145">
      <c r="A145" s="45">
        <f>A144+1</f>
        <v/>
      </c>
      <c r="B145" s="45">
        <f>ROUNDUP(A145/12,0)</f>
        <v/>
      </c>
      <c r="C145" s="8">
        <f>G144</f>
        <v/>
      </c>
      <c r="D145" s="8">
        <f>IF(A145&lt;=$B$7,F145,IF(OR(A145=$B$12,C145+F145&lt;=ROUND($B$10,2)),C145+F145,ROUND($B$10,2)))</f>
        <v/>
      </c>
      <c r="E145" s="8">
        <f>D145-F145</f>
        <v/>
      </c>
      <c r="F145" s="8">
        <f>ROUND(C145*$B$8,2)</f>
        <v/>
      </c>
      <c r="G145" s="8">
        <f>ROUND(C145-E145,2)</f>
        <v/>
      </c>
    </row>
    <row r="146">
      <c r="A146" s="45">
        <f>A145+1</f>
        <v/>
      </c>
      <c r="B146" s="45">
        <f>ROUNDUP(A146/12,0)</f>
        <v/>
      </c>
      <c r="C146" s="8">
        <f>G145</f>
        <v/>
      </c>
      <c r="D146" s="8">
        <f>IF(A146&lt;=$B$7,F146,IF(OR(A146=$B$12,C146+F146&lt;=ROUND($B$10,2)),C146+F146,ROUND($B$10,2)))</f>
        <v/>
      </c>
      <c r="E146" s="8">
        <f>D146-F146</f>
        <v/>
      </c>
      <c r="F146" s="8">
        <f>ROUND(C146*$B$8,2)</f>
        <v/>
      </c>
      <c r="G146" s="8">
        <f>ROUND(C146-E146,2)</f>
        <v/>
      </c>
    </row>
    <row r="147">
      <c r="A147" s="45">
        <f>A146+1</f>
        <v/>
      </c>
      <c r="B147" s="45">
        <f>ROUNDUP(A147/12,0)</f>
        <v/>
      </c>
      <c r="C147" s="8">
        <f>G146</f>
        <v/>
      </c>
      <c r="D147" s="8">
        <f>IF(A147&lt;=$B$7,F147,IF(OR(A147=$B$12,C147+F147&lt;=ROUND($B$10,2)),C147+F147,ROUND($B$10,2)))</f>
        <v/>
      </c>
      <c r="E147" s="8">
        <f>D147-F147</f>
        <v/>
      </c>
      <c r="F147" s="8">
        <f>ROUND(C147*$B$8,2)</f>
        <v/>
      </c>
      <c r="G147" s="8">
        <f>ROUND(C147-E147,2)</f>
        <v/>
      </c>
    </row>
    <row r="148">
      <c r="A148" s="45">
        <f>A147+1</f>
        <v/>
      </c>
      <c r="B148" s="45">
        <f>ROUNDUP(A148/12,0)</f>
        <v/>
      </c>
      <c r="C148" s="8">
        <f>G147</f>
        <v/>
      </c>
      <c r="D148" s="8">
        <f>IF(A148&lt;=$B$7,F148,IF(OR(A148=$B$12,C148+F148&lt;=ROUND($B$10,2)),C148+F148,ROUND($B$10,2)))</f>
        <v/>
      </c>
      <c r="E148" s="8">
        <f>D148-F148</f>
        <v/>
      </c>
      <c r="F148" s="8">
        <f>ROUND(C148*$B$8,2)</f>
        <v/>
      </c>
      <c r="G148" s="8">
        <f>ROUND(C148-E148,2)</f>
        <v/>
      </c>
    </row>
    <row r="149">
      <c r="A149" s="45">
        <f>A148+1</f>
        <v/>
      </c>
      <c r="B149" s="45">
        <f>ROUNDUP(A149/12,0)</f>
        <v/>
      </c>
      <c r="C149" s="8">
        <f>G148</f>
        <v/>
      </c>
      <c r="D149" s="8">
        <f>IF(A149&lt;=$B$7,F149,IF(OR(A149=$B$12,C149+F149&lt;=ROUND($B$10,2)),C149+F149,ROUND($B$10,2)))</f>
        <v/>
      </c>
      <c r="E149" s="8">
        <f>D149-F149</f>
        <v/>
      </c>
      <c r="F149" s="8">
        <f>ROUND(C149*$B$8,2)</f>
        <v/>
      </c>
      <c r="G149" s="8">
        <f>ROUND(C149-E149,2)</f>
        <v/>
      </c>
    </row>
    <row r="150">
      <c r="A150" s="45">
        <f>A149+1</f>
        <v/>
      </c>
      <c r="B150" s="45">
        <f>ROUNDUP(A150/12,0)</f>
        <v/>
      </c>
      <c r="C150" s="8">
        <f>G149</f>
        <v/>
      </c>
      <c r="D150" s="8">
        <f>IF(A150&lt;=$B$7,F150,IF(OR(A150=$B$12,C150+F150&lt;=ROUND($B$10,2)),C150+F150,ROUND($B$10,2)))</f>
        <v/>
      </c>
      <c r="E150" s="8">
        <f>D150-F150</f>
        <v/>
      </c>
      <c r="F150" s="8">
        <f>ROUND(C150*$B$8,2)</f>
        <v/>
      </c>
      <c r="G150" s="8">
        <f>ROUND(C150-E150,2)</f>
        <v/>
      </c>
    </row>
    <row r="151">
      <c r="A151" s="45">
        <f>A150+1</f>
        <v/>
      </c>
      <c r="B151" s="45">
        <f>ROUNDUP(A151/12,0)</f>
        <v/>
      </c>
      <c r="C151" s="8">
        <f>G150</f>
        <v/>
      </c>
      <c r="D151" s="8">
        <f>IF(A151&lt;=$B$7,F151,IF(OR(A151=$B$12,C151+F151&lt;=ROUND($B$10,2)),C151+F151,ROUND($B$10,2)))</f>
        <v/>
      </c>
      <c r="E151" s="8">
        <f>D151-F151</f>
        <v/>
      </c>
      <c r="F151" s="8">
        <f>ROUND(C151*$B$8,2)</f>
        <v/>
      </c>
      <c r="G151" s="8">
        <f>ROUND(C151-E151,2)</f>
        <v/>
      </c>
    </row>
    <row r="152">
      <c r="A152" s="45">
        <f>A151+1</f>
        <v/>
      </c>
      <c r="B152" s="45">
        <f>ROUNDUP(A152/12,0)</f>
        <v/>
      </c>
      <c r="C152" s="8">
        <f>G151</f>
        <v/>
      </c>
      <c r="D152" s="8">
        <f>IF(A152&lt;=$B$7,F152,IF(OR(A152=$B$12,C152+F152&lt;=ROUND($B$10,2)),C152+F152,ROUND($B$10,2)))</f>
        <v/>
      </c>
      <c r="E152" s="8">
        <f>D152-F152</f>
        <v/>
      </c>
      <c r="F152" s="8">
        <f>ROUND(C152*$B$8,2)</f>
        <v/>
      </c>
      <c r="G152" s="8">
        <f>ROUND(C152-E152,2)</f>
        <v/>
      </c>
    </row>
    <row r="153">
      <c r="A153" s="45">
        <f>A152+1</f>
        <v/>
      </c>
      <c r="B153" s="45">
        <f>ROUNDUP(A153/12,0)</f>
        <v/>
      </c>
      <c r="C153" s="8">
        <f>G152</f>
        <v/>
      </c>
      <c r="D153" s="8">
        <f>IF(A153&lt;=$B$7,F153,IF(OR(A153=$B$12,C153+F153&lt;=ROUND($B$10,2)),C153+F153,ROUND($B$10,2)))</f>
        <v/>
      </c>
      <c r="E153" s="8">
        <f>D153-F153</f>
        <v/>
      </c>
      <c r="F153" s="8">
        <f>ROUND(C153*$B$8,2)</f>
        <v/>
      </c>
      <c r="G153" s="8">
        <f>ROUND(C153-E153,2)</f>
        <v/>
      </c>
    </row>
    <row r="154">
      <c r="A154" s="45">
        <f>A153+1</f>
        <v/>
      </c>
      <c r="B154" s="45">
        <f>ROUNDUP(A154/12,0)</f>
        <v/>
      </c>
      <c r="C154" s="8">
        <f>G153</f>
        <v/>
      </c>
      <c r="D154" s="8">
        <f>IF(A154&lt;=$B$7,F154,IF(OR(A154=$B$12,C154+F154&lt;=ROUND($B$10,2)),C154+F154,ROUND($B$10,2)))</f>
        <v/>
      </c>
      <c r="E154" s="8">
        <f>D154-F154</f>
        <v/>
      </c>
      <c r="F154" s="8">
        <f>ROUND(C154*$B$8,2)</f>
        <v/>
      </c>
      <c r="G154" s="8">
        <f>ROUND(C154-E154,2)</f>
        <v/>
      </c>
    </row>
    <row r="155">
      <c r="A155" s="45">
        <f>A154+1</f>
        <v/>
      </c>
      <c r="B155" s="45">
        <f>ROUNDUP(A155/12,0)</f>
        <v/>
      </c>
      <c r="C155" s="8">
        <f>G154</f>
        <v/>
      </c>
      <c r="D155" s="8">
        <f>IF(A155&lt;=$B$7,F155,IF(OR(A155=$B$12,C155+F155&lt;=ROUND($B$10,2)),C155+F155,ROUND($B$10,2)))</f>
        <v/>
      </c>
      <c r="E155" s="8">
        <f>D155-F155</f>
        <v/>
      </c>
      <c r="F155" s="8">
        <f>ROUND(C155*$B$8,2)</f>
        <v/>
      </c>
      <c r="G155" s="8">
        <f>ROUND(C155-E155,2)</f>
        <v/>
      </c>
    </row>
    <row r="156">
      <c r="A156" s="45">
        <f>A155+1</f>
        <v/>
      </c>
      <c r="B156" s="45">
        <f>ROUNDUP(A156/12,0)</f>
        <v/>
      </c>
      <c r="C156" s="8">
        <f>G155</f>
        <v/>
      </c>
      <c r="D156" s="8">
        <f>IF(A156&lt;=$B$7,F156,IF(OR(A156=$B$12,C156+F156&lt;=ROUND($B$10,2)),C156+F156,ROUND($B$10,2)))</f>
        <v/>
      </c>
      <c r="E156" s="8">
        <f>D156-F156</f>
        <v/>
      </c>
      <c r="F156" s="8">
        <f>ROUND(C156*$B$8,2)</f>
        <v/>
      </c>
      <c r="G156" s="8">
        <f>ROUND(C156-E156,2)</f>
        <v/>
      </c>
    </row>
    <row r="157">
      <c r="A157" s="45">
        <f>A156+1</f>
        <v/>
      </c>
      <c r="B157" s="45">
        <f>ROUNDUP(A157/12,0)</f>
        <v/>
      </c>
      <c r="C157" s="8">
        <f>G156</f>
        <v/>
      </c>
      <c r="D157" s="8">
        <f>IF(A157&lt;=$B$7,F157,IF(OR(A157=$B$12,C157+F157&lt;=ROUND($B$10,2)),C157+F157,ROUND($B$10,2)))</f>
        <v/>
      </c>
      <c r="E157" s="8">
        <f>D157-F157</f>
        <v/>
      </c>
      <c r="F157" s="8">
        <f>ROUND(C157*$B$8,2)</f>
        <v/>
      </c>
      <c r="G157" s="8">
        <f>ROUND(C157-E157,2)</f>
        <v/>
      </c>
    </row>
    <row r="158">
      <c r="A158" s="45">
        <f>A157+1</f>
        <v/>
      </c>
      <c r="B158" s="45">
        <f>ROUNDUP(A158/12,0)</f>
        <v/>
      </c>
      <c r="C158" s="8">
        <f>G157</f>
        <v/>
      </c>
      <c r="D158" s="8">
        <f>IF(A158&lt;=$B$7,F158,IF(OR(A158=$B$12,C158+F158&lt;=ROUND($B$10,2)),C158+F158,ROUND($B$10,2)))</f>
        <v/>
      </c>
      <c r="E158" s="8">
        <f>D158-F158</f>
        <v/>
      </c>
      <c r="F158" s="8">
        <f>ROUND(C158*$B$8,2)</f>
        <v/>
      </c>
      <c r="G158" s="8">
        <f>ROUND(C158-E158,2)</f>
        <v/>
      </c>
    </row>
    <row r="159">
      <c r="A159" s="45">
        <f>A158+1</f>
        <v/>
      </c>
      <c r="B159" s="45">
        <f>ROUNDUP(A159/12,0)</f>
        <v/>
      </c>
      <c r="C159" s="8">
        <f>G158</f>
        <v/>
      </c>
      <c r="D159" s="8">
        <f>IF(A159&lt;=$B$7,F159,IF(OR(A159=$B$12,C159+F159&lt;=ROUND($B$10,2)),C159+F159,ROUND($B$10,2)))</f>
        <v/>
      </c>
      <c r="E159" s="8">
        <f>D159-F159</f>
        <v/>
      </c>
      <c r="F159" s="8">
        <f>ROUND(C159*$B$8,2)</f>
        <v/>
      </c>
      <c r="G159" s="8">
        <f>ROUND(C159-E159,2)</f>
        <v/>
      </c>
    </row>
    <row r="160">
      <c r="A160" s="45">
        <f>A159+1</f>
        <v/>
      </c>
      <c r="B160" s="45">
        <f>ROUNDUP(A160/12,0)</f>
        <v/>
      </c>
      <c r="C160" s="8">
        <f>G159</f>
        <v/>
      </c>
      <c r="D160" s="8">
        <f>IF(A160&lt;=$B$7,F160,IF(OR(A160=$B$12,C160+F160&lt;=ROUND($B$10,2)),C160+F160,ROUND($B$10,2)))</f>
        <v/>
      </c>
      <c r="E160" s="8">
        <f>D160-F160</f>
        <v/>
      </c>
      <c r="F160" s="8">
        <f>ROUND(C160*$B$8,2)</f>
        <v/>
      </c>
      <c r="G160" s="8">
        <f>ROUND(C160-E160,2)</f>
        <v/>
      </c>
    </row>
    <row r="161">
      <c r="A161" s="45">
        <f>A160+1</f>
        <v/>
      </c>
      <c r="B161" s="45">
        <f>ROUNDUP(A161/12,0)</f>
        <v/>
      </c>
      <c r="C161" s="8">
        <f>G160</f>
        <v/>
      </c>
      <c r="D161" s="8">
        <f>IF(A161&lt;=$B$7,F161,IF(OR(A161=$B$12,C161+F161&lt;=ROUND($B$10,2)),C161+F161,ROUND($B$10,2)))</f>
        <v/>
      </c>
      <c r="E161" s="8">
        <f>D161-F161</f>
        <v/>
      </c>
      <c r="F161" s="8">
        <f>ROUND(C161*$B$8,2)</f>
        <v/>
      </c>
      <c r="G161" s="8">
        <f>ROUND(C161-E161,2)</f>
        <v/>
      </c>
    </row>
    <row r="162">
      <c r="A162" s="45">
        <f>A161+1</f>
        <v/>
      </c>
      <c r="B162" s="45">
        <f>ROUNDUP(A162/12,0)</f>
        <v/>
      </c>
      <c r="C162" s="8">
        <f>G161</f>
        <v/>
      </c>
      <c r="D162" s="8">
        <f>IF(A162&lt;=$B$7,F162,IF(OR(A162=$B$12,C162+F162&lt;=ROUND($B$10,2)),C162+F162,ROUND($B$10,2)))</f>
        <v/>
      </c>
      <c r="E162" s="8">
        <f>D162-F162</f>
        <v/>
      </c>
      <c r="F162" s="8">
        <f>ROUND(C162*$B$8,2)</f>
        <v/>
      </c>
      <c r="G162" s="8">
        <f>ROUND(C162-E162,2)</f>
        <v/>
      </c>
    </row>
    <row r="163">
      <c r="A163" s="45">
        <f>A162+1</f>
        <v/>
      </c>
      <c r="B163" s="45">
        <f>ROUNDUP(A163/12,0)</f>
        <v/>
      </c>
      <c r="C163" s="8">
        <f>G162</f>
        <v/>
      </c>
      <c r="D163" s="8">
        <f>IF(A163&lt;=$B$7,F163,IF(OR(A163=$B$12,C163+F163&lt;=ROUND($B$10,2)),C163+F163,ROUND($B$10,2)))</f>
        <v/>
      </c>
      <c r="E163" s="8">
        <f>D163-F163</f>
        <v/>
      </c>
      <c r="F163" s="8">
        <f>ROUND(C163*$B$8,2)</f>
        <v/>
      </c>
      <c r="G163" s="8">
        <f>ROUND(C163-E163,2)</f>
        <v/>
      </c>
    </row>
    <row r="164">
      <c r="A164" s="45">
        <f>A163+1</f>
        <v/>
      </c>
      <c r="B164" s="45">
        <f>ROUNDUP(A164/12,0)</f>
        <v/>
      </c>
      <c r="C164" s="8">
        <f>G163</f>
        <v/>
      </c>
      <c r="D164" s="8">
        <f>IF(A164&lt;=$B$7,F164,IF(OR(A164=$B$12,C164+F164&lt;=ROUND($B$10,2)),C164+F164,ROUND($B$10,2)))</f>
        <v/>
      </c>
      <c r="E164" s="8">
        <f>D164-F164</f>
        <v/>
      </c>
      <c r="F164" s="8">
        <f>ROUND(C164*$B$8,2)</f>
        <v/>
      </c>
      <c r="G164" s="8">
        <f>ROUND(C164-E164,2)</f>
        <v/>
      </c>
    </row>
    <row r="165">
      <c r="A165" s="45">
        <f>A164+1</f>
        <v/>
      </c>
      <c r="B165" s="45">
        <f>ROUNDUP(A165/12,0)</f>
        <v/>
      </c>
      <c r="C165" s="8">
        <f>G164</f>
        <v/>
      </c>
      <c r="D165" s="8">
        <f>IF(A165&lt;=$B$7,F165,IF(OR(A165=$B$12,C165+F165&lt;=ROUND($B$10,2)),C165+F165,ROUND($B$10,2)))</f>
        <v/>
      </c>
      <c r="E165" s="8">
        <f>D165-F165</f>
        <v/>
      </c>
      <c r="F165" s="8">
        <f>ROUND(C165*$B$8,2)</f>
        <v/>
      </c>
      <c r="G165" s="8">
        <f>ROUND(C165-E165,2)</f>
        <v/>
      </c>
    </row>
    <row r="166">
      <c r="A166" s="45">
        <f>A165+1</f>
        <v/>
      </c>
      <c r="B166" s="45">
        <f>ROUNDUP(A166/12,0)</f>
        <v/>
      </c>
      <c r="C166" s="8">
        <f>G165</f>
        <v/>
      </c>
      <c r="D166" s="8">
        <f>IF(A166&lt;=$B$7,F166,IF(OR(A166=$B$12,C166+F166&lt;=ROUND($B$10,2)),C166+F166,ROUND($B$10,2)))</f>
        <v/>
      </c>
      <c r="E166" s="8">
        <f>D166-F166</f>
        <v/>
      </c>
      <c r="F166" s="8">
        <f>ROUND(C166*$B$8,2)</f>
        <v/>
      </c>
      <c r="G166" s="8">
        <f>ROUND(C166-E166,2)</f>
        <v/>
      </c>
    </row>
    <row r="167">
      <c r="A167" s="45">
        <f>A166+1</f>
        <v/>
      </c>
      <c r="B167" s="45">
        <f>ROUNDUP(A167/12,0)</f>
        <v/>
      </c>
      <c r="C167" s="8">
        <f>G166</f>
        <v/>
      </c>
      <c r="D167" s="8">
        <f>IF(A167&lt;=$B$7,F167,IF(OR(A167=$B$12,C167+F167&lt;=ROUND($B$10,2)),C167+F167,ROUND($B$10,2)))</f>
        <v/>
      </c>
      <c r="E167" s="8">
        <f>D167-F167</f>
        <v/>
      </c>
      <c r="F167" s="8">
        <f>ROUND(C167*$B$8,2)</f>
        <v/>
      </c>
      <c r="G167" s="8">
        <f>ROUND(C167-E167,2)</f>
        <v/>
      </c>
    </row>
    <row r="168">
      <c r="A168" s="45">
        <f>A167+1</f>
        <v/>
      </c>
      <c r="B168" s="45">
        <f>ROUNDUP(A168/12,0)</f>
        <v/>
      </c>
      <c r="C168" s="8">
        <f>G167</f>
        <v/>
      </c>
      <c r="D168" s="8">
        <f>IF(A168&lt;=$B$7,F168,IF(OR(A168=$B$12,C168+F168&lt;=ROUND($B$10,2)),C168+F168,ROUND($B$10,2)))</f>
        <v/>
      </c>
      <c r="E168" s="8">
        <f>D168-F168</f>
        <v/>
      </c>
      <c r="F168" s="8">
        <f>ROUND(C168*$B$8,2)</f>
        <v/>
      </c>
      <c r="G168" s="8">
        <f>ROUND(C168-E168,2)</f>
        <v/>
      </c>
    </row>
    <row r="169">
      <c r="A169" s="45">
        <f>A168+1</f>
        <v/>
      </c>
      <c r="B169" s="45">
        <f>ROUNDUP(A169/12,0)</f>
        <v/>
      </c>
      <c r="C169" s="8">
        <f>G168</f>
        <v/>
      </c>
      <c r="D169" s="8">
        <f>IF(A169&lt;=$B$7,F169,IF(OR(A169=$B$12,C169+F169&lt;=ROUND($B$10,2)),C169+F169,ROUND($B$10,2)))</f>
        <v/>
      </c>
      <c r="E169" s="8">
        <f>D169-F169</f>
        <v/>
      </c>
      <c r="F169" s="8">
        <f>ROUND(C169*$B$8,2)</f>
        <v/>
      </c>
      <c r="G169" s="8">
        <f>ROUND(C169-E169,2)</f>
        <v/>
      </c>
    </row>
    <row r="170">
      <c r="A170" s="45">
        <f>A169+1</f>
        <v/>
      </c>
      <c r="B170" s="45">
        <f>ROUNDUP(A170/12,0)</f>
        <v/>
      </c>
      <c r="C170" s="8">
        <f>G169</f>
        <v/>
      </c>
      <c r="D170" s="8">
        <f>IF(A170&lt;=$B$7,F170,IF(OR(A170=$B$12,C170+F170&lt;=ROUND($B$10,2)),C170+F170,ROUND($B$10,2)))</f>
        <v/>
      </c>
      <c r="E170" s="8">
        <f>D170-F170</f>
        <v/>
      </c>
      <c r="F170" s="8">
        <f>ROUND(C170*$B$8,2)</f>
        <v/>
      </c>
      <c r="G170" s="8">
        <f>ROUND(C170-E170,2)</f>
        <v/>
      </c>
    </row>
    <row r="171">
      <c r="A171" s="45">
        <f>A170+1</f>
        <v/>
      </c>
      <c r="B171" s="45">
        <f>ROUNDUP(A171/12,0)</f>
        <v/>
      </c>
      <c r="C171" s="8">
        <f>G170</f>
        <v/>
      </c>
      <c r="D171" s="8">
        <f>IF(A171&lt;=$B$7,F171,IF(OR(A171=$B$12,C171+F171&lt;=ROUND($B$10,2)),C171+F171,ROUND($B$10,2)))</f>
        <v/>
      </c>
      <c r="E171" s="8">
        <f>D171-F171</f>
        <v/>
      </c>
      <c r="F171" s="8">
        <f>ROUND(C171*$B$8,2)</f>
        <v/>
      </c>
      <c r="G171" s="8">
        <f>ROUND(C171-E171,2)</f>
        <v/>
      </c>
    </row>
    <row r="172">
      <c r="A172" s="45">
        <f>A171+1</f>
        <v/>
      </c>
      <c r="B172" s="45">
        <f>ROUNDUP(A172/12,0)</f>
        <v/>
      </c>
      <c r="C172" s="8">
        <f>G171</f>
        <v/>
      </c>
      <c r="D172" s="8">
        <f>IF(A172&lt;=$B$7,F172,IF(OR(A172=$B$12,C172+F172&lt;=ROUND($B$10,2)),C172+F172,ROUND($B$10,2)))</f>
        <v/>
      </c>
      <c r="E172" s="8">
        <f>D172-F172</f>
        <v/>
      </c>
      <c r="F172" s="8">
        <f>ROUND(C172*$B$8,2)</f>
        <v/>
      </c>
      <c r="G172" s="8">
        <f>ROUND(C172-E172,2)</f>
        <v/>
      </c>
    </row>
    <row r="173">
      <c r="A173" s="45">
        <f>A172+1</f>
        <v/>
      </c>
      <c r="B173" s="45">
        <f>ROUNDUP(A173/12,0)</f>
        <v/>
      </c>
      <c r="C173" s="8">
        <f>G172</f>
        <v/>
      </c>
      <c r="D173" s="8">
        <f>IF(A173&lt;=$B$7,F173,IF(OR(A173=$B$12,C173+F173&lt;=ROUND($B$10,2)),C173+F173,ROUND($B$10,2)))</f>
        <v/>
      </c>
      <c r="E173" s="8">
        <f>D173-F173</f>
        <v/>
      </c>
      <c r="F173" s="8">
        <f>ROUND(C173*$B$8,2)</f>
        <v/>
      </c>
      <c r="G173" s="8">
        <f>ROUND(C173-E173,2)</f>
        <v/>
      </c>
    </row>
    <row r="174">
      <c r="A174" s="45">
        <f>A173+1</f>
        <v/>
      </c>
      <c r="B174" s="45">
        <f>ROUNDUP(A174/12,0)</f>
        <v/>
      </c>
      <c r="C174" s="8">
        <f>G173</f>
        <v/>
      </c>
      <c r="D174" s="8">
        <f>IF(A174&lt;=$B$7,F174,IF(OR(A174=$B$12,C174+F174&lt;=ROUND($B$10,2)),C174+F174,ROUND($B$10,2)))</f>
        <v/>
      </c>
      <c r="E174" s="8">
        <f>D174-F174</f>
        <v/>
      </c>
      <c r="F174" s="8">
        <f>ROUND(C174*$B$8,2)</f>
        <v/>
      </c>
      <c r="G174" s="8">
        <f>ROUND(C174-E174,2)</f>
        <v/>
      </c>
    </row>
    <row r="175">
      <c r="A175" s="45">
        <f>A174+1</f>
        <v/>
      </c>
      <c r="B175" s="45">
        <f>ROUNDUP(A175/12,0)</f>
        <v/>
      </c>
      <c r="C175" s="8">
        <f>G174</f>
        <v/>
      </c>
      <c r="D175" s="8">
        <f>IF(A175&lt;=$B$7,F175,IF(OR(A175=$B$12,C175+F175&lt;=ROUND($B$10,2)),C175+F175,ROUND($B$10,2)))</f>
        <v/>
      </c>
      <c r="E175" s="8">
        <f>D175-F175</f>
        <v/>
      </c>
      <c r="F175" s="8">
        <f>ROUND(C175*$B$8,2)</f>
        <v/>
      </c>
      <c r="G175" s="8">
        <f>ROUND(C175-E175,2)</f>
        <v/>
      </c>
    </row>
    <row r="176">
      <c r="A176" s="45">
        <f>A175+1</f>
        <v/>
      </c>
      <c r="B176" s="45">
        <f>ROUNDUP(A176/12,0)</f>
        <v/>
      </c>
      <c r="C176" s="8">
        <f>G175</f>
        <v/>
      </c>
      <c r="D176" s="8">
        <f>IF(A176&lt;=$B$7,F176,IF(OR(A176=$B$12,C176+F176&lt;=ROUND($B$10,2)),C176+F176,ROUND($B$10,2)))</f>
        <v/>
      </c>
      <c r="E176" s="8">
        <f>D176-F176</f>
        <v/>
      </c>
      <c r="F176" s="8">
        <f>ROUND(C176*$B$8,2)</f>
        <v/>
      </c>
      <c r="G176" s="8">
        <f>ROUND(C176-E176,2)</f>
        <v/>
      </c>
    </row>
    <row r="177">
      <c r="A177" s="45">
        <f>A176+1</f>
        <v/>
      </c>
      <c r="B177" s="45">
        <f>ROUNDUP(A177/12,0)</f>
        <v/>
      </c>
      <c r="C177" s="8">
        <f>G176</f>
        <v/>
      </c>
      <c r="D177" s="8">
        <f>IF(A177&lt;=$B$7,F177,IF(OR(A177=$B$12,C177+F177&lt;=ROUND($B$10,2)),C177+F177,ROUND($B$10,2)))</f>
        <v/>
      </c>
      <c r="E177" s="8">
        <f>D177-F177</f>
        <v/>
      </c>
      <c r="F177" s="8">
        <f>ROUND(C177*$B$8,2)</f>
        <v/>
      </c>
      <c r="G177" s="8">
        <f>ROUND(C177-E177,2)</f>
        <v/>
      </c>
    </row>
    <row r="178">
      <c r="A178" s="45">
        <f>A177+1</f>
        <v/>
      </c>
      <c r="B178" s="45">
        <f>ROUNDUP(A178/12,0)</f>
        <v/>
      </c>
      <c r="C178" s="8">
        <f>G177</f>
        <v/>
      </c>
      <c r="D178" s="8">
        <f>IF(A178&lt;=$B$7,F178,IF(OR(A178=$B$12,C178+F178&lt;=ROUND($B$10,2)),C178+F178,ROUND($B$10,2)))</f>
        <v/>
      </c>
      <c r="E178" s="8">
        <f>D178-F178</f>
        <v/>
      </c>
      <c r="F178" s="8">
        <f>ROUND(C178*$B$8,2)</f>
        <v/>
      </c>
      <c r="G178" s="8">
        <f>ROUND(C178-E178,2)</f>
        <v/>
      </c>
    </row>
    <row r="179">
      <c r="A179" s="45">
        <f>A178+1</f>
        <v/>
      </c>
      <c r="B179" s="45">
        <f>ROUNDUP(A179/12,0)</f>
        <v/>
      </c>
      <c r="C179" s="8">
        <f>G178</f>
        <v/>
      </c>
      <c r="D179" s="8">
        <f>IF(A179&lt;=$B$7,F179,IF(OR(A179=$B$12,C179+F179&lt;=ROUND($B$10,2)),C179+F179,ROUND($B$10,2)))</f>
        <v/>
      </c>
      <c r="E179" s="8">
        <f>D179-F179</f>
        <v/>
      </c>
      <c r="F179" s="8">
        <f>ROUND(C179*$B$8,2)</f>
        <v/>
      </c>
      <c r="G179" s="8">
        <f>ROUND(C179-E179,2)</f>
        <v/>
      </c>
    </row>
    <row r="180">
      <c r="A180" s="45">
        <f>A179+1</f>
        <v/>
      </c>
      <c r="B180" s="45">
        <f>ROUNDUP(A180/12,0)</f>
        <v/>
      </c>
      <c r="C180" s="8">
        <f>G179</f>
        <v/>
      </c>
      <c r="D180" s="8">
        <f>IF(A180&lt;=$B$7,F180,IF(OR(A180=$B$12,C180+F180&lt;=ROUND($B$10,2)),C180+F180,ROUND($B$10,2)))</f>
        <v/>
      </c>
      <c r="E180" s="8">
        <f>D180-F180</f>
        <v/>
      </c>
      <c r="F180" s="8">
        <f>ROUND(C180*$B$8,2)</f>
        <v/>
      </c>
      <c r="G180" s="8">
        <f>ROUND(C180-E180,2)</f>
        <v/>
      </c>
    </row>
    <row r="181">
      <c r="A181" s="45">
        <f>A180+1</f>
        <v/>
      </c>
      <c r="B181" s="45">
        <f>ROUNDUP(A181/12,0)</f>
        <v/>
      </c>
      <c r="C181" s="8">
        <f>G180</f>
        <v/>
      </c>
      <c r="D181" s="8">
        <f>IF(A181&lt;=$B$7,F181,IF(OR(A181=$B$12,C181+F181&lt;=ROUND($B$10,2)),C181+F181,ROUND($B$10,2)))</f>
        <v/>
      </c>
      <c r="E181" s="8">
        <f>D181-F181</f>
        <v/>
      </c>
      <c r="F181" s="8">
        <f>ROUND(C181*$B$8,2)</f>
        <v/>
      </c>
      <c r="G181" s="8">
        <f>ROUND(C181-E181,2)</f>
        <v/>
      </c>
    </row>
    <row r="182">
      <c r="A182" s="45">
        <f>A181+1</f>
        <v/>
      </c>
      <c r="B182" s="45">
        <f>ROUNDUP(A182/12,0)</f>
        <v/>
      </c>
      <c r="C182" s="8">
        <f>G181</f>
        <v/>
      </c>
      <c r="D182" s="8">
        <f>IF(A182&lt;=$B$7,F182,IF(OR(A182=$B$12,C182+F182&lt;=ROUND($B$10,2)),C182+F182,ROUND($B$10,2)))</f>
        <v/>
      </c>
      <c r="E182" s="8">
        <f>D182-F182</f>
        <v/>
      </c>
      <c r="F182" s="8">
        <f>ROUND(C182*$B$8,2)</f>
        <v/>
      </c>
      <c r="G182" s="8">
        <f>ROUND(C182-E182,2)</f>
        <v/>
      </c>
    </row>
    <row r="183">
      <c r="A183" s="45">
        <f>A182+1</f>
        <v/>
      </c>
      <c r="B183" s="45">
        <f>ROUNDUP(A183/12,0)</f>
        <v/>
      </c>
      <c r="C183" s="8">
        <f>G182</f>
        <v/>
      </c>
      <c r="D183" s="8">
        <f>IF(A183&lt;=$B$7,F183,IF(OR(A183=$B$12,C183+F183&lt;=ROUND($B$10,2)),C183+F183,ROUND($B$10,2)))</f>
        <v/>
      </c>
      <c r="E183" s="8">
        <f>D183-F183</f>
        <v/>
      </c>
      <c r="F183" s="8">
        <f>ROUND(C183*$B$8,2)</f>
        <v/>
      </c>
      <c r="G183" s="8">
        <f>ROUND(C183-E183,2)</f>
        <v/>
      </c>
    </row>
    <row r="184">
      <c r="A184" s="45">
        <f>A183+1</f>
        <v/>
      </c>
      <c r="B184" s="45">
        <f>ROUNDUP(A184/12,0)</f>
        <v/>
      </c>
      <c r="C184" s="8">
        <f>G183</f>
        <v/>
      </c>
      <c r="D184" s="8">
        <f>IF(A184&lt;=$B$7,F184,IF(OR(A184=$B$12,C184+F184&lt;=ROUND($B$10,2)),C184+F184,ROUND($B$10,2)))</f>
        <v/>
      </c>
      <c r="E184" s="8">
        <f>D184-F184</f>
        <v/>
      </c>
      <c r="F184" s="8">
        <f>ROUND(C184*$B$8,2)</f>
        <v/>
      </c>
      <c r="G184" s="8">
        <f>ROUND(C184-E184,2)</f>
        <v/>
      </c>
    </row>
    <row r="185">
      <c r="A185" s="45">
        <f>A184+1</f>
        <v/>
      </c>
      <c r="B185" s="45">
        <f>ROUNDUP(A185/12,0)</f>
        <v/>
      </c>
      <c r="C185" s="8">
        <f>G184</f>
        <v/>
      </c>
      <c r="D185" s="8">
        <f>IF(A185&lt;=$B$7,F185,IF(OR(A185=$B$12,C185+F185&lt;=ROUND($B$10,2)),C185+F185,ROUND($B$10,2)))</f>
        <v/>
      </c>
      <c r="E185" s="8">
        <f>D185-F185</f>
        <v/>
      </c>
      <c r="F185" s="8">
        <f>ROUND(C185*$B$8,2)</f>
        <v/>
      </c>
      <c r="G185" s="8">
        <f>ROUND(C185-E185,2)</f>
        <v/>
      </c>
    </row>
    <row r="186">
      <c r="A186" s="45">
        <f>A185+1</f>
        <v/>
      </c>
      <c r="B186" s="45">
        <f>ROUNDUP(A186/12,0)</f>
        <v/>
      </c>
      <c r="C186" s="8">
        <f>G185</f>
        <v/>
      </c>
      <c r="D186" s="8">
        <f>IF(A186&lt;=$B$7,F186,IF(OR(A186=$B$12,C186+F186&lt;=ROUND($B$10,2)),C186+F186,ROUND($B$10,2)))</f>
        <v/>
      </c>
      <c r="E186" s="8">
        <f>D186-F186</f>
        <v/>
      </c>
      <c r="F186" s="8">
        <f>ROUND(C186*$B$8,2)</f>
        <v/>
      </c>
      <c r="G186" s="8">
        <f>ROUND(C186-E186,2)</f>
        <v/>
      </c>
    </row>
    <row r="187">
      <c r="A187" s="45">
        <f>A186+1</f>
        <v/>
      </c>
      <c r="B187" s="45">
        <f>ROUNDUP(A187/12,0)</f>
        <v/>
      </c>
      <c r="C187" s="8">
        <f>G186</f>
        <v/>
      </c>
      <c r="D187" s="8">
        <f>IF(A187&lt;=$B$7,F187,IF(OR(A187=$B$12,C187+F187&lt;=ROUND($B$10,2)),C187+F187,ROUND($B$10,2)))</f>
        <v/>
      </c>
      <c r="E187" s="8">
        <f>D187-F187</f>
        <v/>
      </c>
      <c r="F187" s="8">
        <f>ROUND(C187*$B$8,2)</f>
        <v/>
      </c>
      <c r="G187" s="8">
        <f>ROUND(C187-E187,2)</f>
        <v/>
      </c>
    </row>
    <row r="188">
      <c r="A188" s="45">
        <f>A187+1</f>
        <v/>
      </c>
      <c r="B188" s="45">
        <f>ROUNDUP(A188/12,0)</f>
        <v/>
      </c>
      <c r="C188" s="8">
        <f>G187</f>
        <v/>
      </c>
      <c r="D188" s="8">
        <f>IF(A188&lt;=$B$7,F188,IF(OR(A188=$B$12,C188+F188&lt;=ROUND($B$10,2)),C188+F188,ROUND($B$10,2)))</f>
        <v/>
      </c>
      <c r="E188" s="8">
        <f>D188-F188</f>
        <v/>
      </c>
      <c r="F188" s="8">
        <f>ROUND(C188*$B$8,2)</f>
        <v/>
      </c>
      <c r="G188" s="8">
        <f>ROUND(C188-E188,2)</f>
        <v/>
      </c>
    </row>
    <row r="189">
      <c r="A189" s="45">
        <f>A188+1</f>
        <v/>
      </c>
      <c r="B189" s="45">
        <f>ROUNDUP(A189/12,0)</f>
        <v/>
      </c>
      <c r="C189" s="8">
        <f>G188</f>
        <v/>
      </c>
      <c r="D189" s="8">
        <f>IF(A189&lt;=$B$7,F189,IF(OR(A189=$B$12,C189+F189&lt;=ROUND($B$10,2)),C189+F189,ROUND($B$10,2)))</f>
        <v/>
      </c>
      <c r="E189" s="8">
        <f>D189-F189</f>
        <v/>
      </c>
      <c r="F189" s="8">
        <f>ROUND(C189*$B$8,2)</f>
        <v/>
      </c>
      <c r="G189" s="8">
        <f>ROUND(C189-E189,2)</f>
        <v/>
      </c>
    </row>
    <row r="190">
      <c r="A190" s="45">
        <f>A189+1</f>
        <v/>
      </c>
      <c r="B190" s="45">
        <f>ROUNDUP(A190/12,0)</f>
        <v/>
      </c>
      <c r="C190" s="8">
        <f>G189</f>
        <v/>
      </c>
      <c r="D190" s="8">
        <f>IF(A190&lt;=$B$7,F190,IF(OR(A190=$B$12,C190+F190&lt;=ROUND($B$10,2)),C190+F190,ROUND($B$10,2)))</f>
        <v/>
      </c>
      <c r="E190" s="8">
        <f>D190-F190</f>
        <v/>
      </c>
      <c r="F190" s="8">
        <f>ROUND(C190*$B$8,2)</f>
        <v/>
      </c>
      <c r="G190" s="8">
        <f>ROUND(C190-E190,2)</f>
        <v/>
      </c>
    </row>
    <row r="191">
      <c r="A191" s="45">
        <f>A190+1</f>
        <v/>
      </c>
      <c r="B191" s="45">
        <f>ROUNDUP(A191/12,0)</f>
        <v/>
      </c>
      <c r="C191" s="8">
        <f>G190</f>
        <v/>
      </c>
      <c r="D191" s="8">
        <f>IF(A191&lt;=$B$7,F191,IF(OR(A191=$B$12,C191+F191&lt;=ROUND($B$10,2)),C191+F191,ROUND($B$10,2)))</f>
        <v/>
      </c>
      <c r="E191" s="8">
        <f>D191-F191</f>
        <v/>
      </c>
      <c r="F191" s="8">
        <f>ROUND(C191*$B$8,2)</f>
        <v/>
      </c>
      <c r="G191" s="8">
        <f>ROUND(C191-E191,2)</f>
        <v/>
      </c>
    </row>
    <row r="192">
      <c r="A192" s="45">
        <f>A191+1</f>
        <v/>
      </c>
      <c r="B192" s="45">
        <f>ROUNDUP(A192/12,0)</f>
        <v/>
      </c>
      <c r="C192" s="8">
        <f>G191</f>
        <v/>
      </c>
      <c r="D192" s="8">
        <f>IF(A192&lt;=$B$7,F192,IF(OR(A192=$B$12,C192+F192&lt;=ROUND($B$10,2)),C192+F192,ROUND($B$10,2)))</f>
        <v/>
      </c>
      <c r="E192" s="8">
        <f>D192-F192</f>
        <v/>
      </c>
      <c r="F192" s="8">
        <f>ROUND(C192*$B$8,2)</f>
        <v/>
      </c>
      <c r="G192" s="8">
        <f>ROUND(C192-E192,2)</f>
        <v/>
      </c>
    </row>
    <row r="193">
      <c r="A193" s="45">
        <f>A192+1</f>
        <v/>
      </c>
      <c r="B193" s="45">
        <f>ROUNDUP(A193/12,0)</f>
        <v/>
      </c>
      <c r="C193" s="8">
        <f>G192</f>
        <v/>
      </c>
      <c r="D193" s="8">
        <f>IF(A193&lt;=$B$7,F193,IF(OR(A193=$B$12,C193+F193&lt;=ROUND($B$10,2)),C193+F193,ROUND($B$10,2)))</f>
        <v/>
      </c>
      <c r="E193" s="8">
        <f>D193-F193</f>
        <v/>
      </c>
      <c r="F193" s="8">
        <f>ROUND(C193*$B$8,2)</f>
        <v/>
      </c>
      <c r="G193" s="8">
        <f>ROUND(C193-E193,2)</f>
        <v/>
      </c>
    </row>
    <row r="194">
      <c r="A194" s="45">
        <f>A193+1</f>
        <v/>
      </c>
      <c r="B194" s="45">
        <f>ROUNDUP(A194/12,0)</f>
        <v/>
      </c>
      <c r="C194" s="8">
        <f>G193</f>
        <v/>
      </c>
      <c r="D194" s="8">
        <f>IF(A194&lt;=$B$7,F194,IF(OR(A194=$B$12,C194+F194&lt;=ROUND($B$10,2)),C194+F194,ROUND($B$10,2)))</f>
        <v/>
      </c>
      <c r="E194" s="8">
        <f>D194-F194</f>
        <v/>
      </c>
      <c r="F194" s="8">
        <f>ROUND(C194*$B$8,2)</f>
        <v/>
      </c>
      <c r="G194" s="8">
        <f>ROUND(C194-E194,2)</f>
        <v/>
      </c>
    </row>
    <row r="195">
      <c r="A195" s="45">
        <f>A194+1</f>
        <v/>
      </c>
      <c r="B195" s="45">
        <f>ROUNDUP(A195/12,0)</f>
        <v/>
      </c>
      <c r="C195" s="8">
        <f>G194</f>
        <v/>
      </c>
      <c r="D195" s="8">
        <f>IF(A195&lt;=$B$7,F195,IF(OR(A195=$B$12,C195+F195&lt;=ROUND($B$10,2)),C195+F195,ROUND($B$10,2)))</f>
        <v/>
      </c>
      <c r="E195" s="8">
        <f>D195-F195</f>
        <v/>
      </c>
      <c r="F195" s="8">
        <f>ROUND(C195*$B$8,2)</f>
        <v/>
      </c>
      <c r="G195" s="8">
        <f>ROUND(C195-E195,2)</f>
        <v/>
      </c>
    </row>
    <row r="196">
      <c r="A196" s="45">
        <f>A195+1</f>
        <v/>
      </c>
      <c r="B196" s="45">
        <f>ROUNDUP(A196/12,0)</f>
        <v/>
      </c>
      <c r="C196" s="8">
        <f>G195</f>
        <v/>
      </c>
      <c r="D196" s="8">
        <f>IF(A196&lt;=$B$7,F196,IF(OR(A196=$B$12,C196+F196&lt;=ROUND($B$10,2)),C196+F196,ROUND($B$10,2)))</f>
        <v/>
      </c>
      <c r="E196" s="8">
        <f>D196-F196</f>
        <v/>
      </c>
      <c r="F196" s="8">
        <f>ROUND(C196*$B$8,2)</f>
        <v/>
      </c>
      <c r="G196" s="8">
        <f>ROUND(C196-E196,2)</f>
        <v/>
      </c>
    </row>
    <row r="197">
      <c r="A197" s="45">
        <f>A196+1</f>
        <v/>
      </c>
      <c r="B197" s="45">
        <f>ROUNDUP(A197/12,0)</f>
        <v/>
      </c>
      <c r="C197" s="8">
        <f>G196</f>
        <v/>
      </c>
      <c r="D197" s="8">
        <f>IF(A197&lt;=$B$7,F197,IF(OR(A197=$B$12,C197+F197&lt;=ROUND($B$10,2)),C197+F197,ROUND($B$10,2)))</f>
        <v/>
      </c>
      <c r="E197" s="8">
        <f>D197-F197</f>
        <v/>
      </c>
      <c r="F197" s="8">
        <f>ROUND(C197*$B$8,2)</f>
        <v/>
      </c>
      <c r="G197" s="8">
        <f>ROUND(C197-E197,2)</f>
        <v/>
      </c>
    </row>
    <row r="198">
      <c r="A198" s="45">
        <f>A197+1</f>
        <v/>
      </c>
      <c r="B198" s="45">
        <f>ROUNDUP(A198/12,0)</f>
        <v/>
      </c>
      <c r="C198" s="8">
        <f>G197</f>
        <v/>
      </c>
      <c r="D198" s="8">
        <f>IF(A198&lt;=$B$7,F198,IF(OR(A198=$B$12,C198+F198&lt;=ROUND($B$10,2)),C198+F198,ROUND($B$10,2)))</f>
        <v/>
      </c>
      <c r="E198" s="8">
        <f>D198-F198</f>
        <v/>
      </c>
      <c r="F198" s="8">
        <f>ROUND(C198*$B$8,2)</f>
        <v/>
      </c>
      <c r="G198" s="8">
        <f>ROUND(C198-E198,2)</f>
        <v/>
      </c>
    </row>
    <row r="199">
      <c r="A199" s="45">
        <f>A198+1</f>
        <v/>
      </c>
      <c r="B199" s="45">
        <f>ROUNDUP(A199/12,0)</f>
        <v/>
      </c>
      <c r="C199" s="8">
        <f>G198</f>
        <v/>
      </c>
      <c r="D199" s="8">
        <f>IF(A199&lt;=$B$7,F199,IF(OR(A199=$B$12,C199+F199&lt;=ROUND($B$10,2)),C199+F199,ROUND($B$10,2)))</f>
        <v/>
      </c>
      <c r="E199" s="8">
        <f>D199-F199</f>
        <v/>
      </c>
      <c r="F199" s="8">
        <f>ROUND(C199*$B$8,2)</f>
        <v/>
      </c>
      <c r="G199" s="8">
        <f>ROUND(C199-E199,2)</f>
        <v/>
      </c>
    </row>
    <row r="200">
      <c r="A200" s="45">
        <f>A199+1</f>
        <v/>
      </c>
      <c r="B200" s="45">
        <f>ROUNDUP(A200/12,0)</f>
        <v/>
      </c>
      <c r="C200" s="8">
        <f>G199</f>
        <v/>
      </c>
      <c r="D200" s="8">
        <f>IF(A200&lt;=$B$7,F200,IF(OR(A200=$B$12,C200+F200&lt;=ROUND($B$10,2)),C200+F200,ROUND($B$10,2)))</f>
        <v/>
      </c>
      <c r="E200" s="8">
        <f>D200-F200</f>
        <v/>
      </c>
      <c r="F200" s="8">
        <f>ROUND(C200*$B$8,2)</f>
        <v/>
      </c>
      <c r="G200" s="8">
        <f>ROUND(C200-E200,2)</f>
        <v/>
      </c>
    </row>
    <row r="201">
      <c r="A201" s="45">
        <f>A200+1</f>
        <v/>
      </c>
      <c r="B201" s="45">
        <f>ROUNDUP(A201/12,0)</f>
        <v/>
      </c>
      <c r="C201" s="8">
        <f>G200</f>
        <v/>
      </c>
      <c r="D201" s="8">
        <f>IF(A201&lt;=$B$7,F201,IF(OR(A201=$B$12,C201+F201&lt;=ROUND($B$10,2)),C201+F201,ROUND($B$10,2)))</f>
        <v/>
      </c>
      <c r="E201" s="8">
        <f>D201-F201</f>
        <v/>
      </c>
      <c r="F201" s="8">
        <f>ROUND(C201*$B$8,2)</f>
        <v/>
      </c>
      <c r="G201" s="8">
        <f>ROUND(C201-E201,2)</f>
        <v/>
      </c>
    </row>
    <row r="202">
      <c r="A202" s="45">
        <f>A201+1</f>
        <v/>
      </c>
      <c r="B202" s="45">
        <f>ROUNDUP(A202/12,0)</f>
        <v/>
      </c>
      <c r="C202" s="8">
        <f>G201</f>
        <v/>
      </c>
      <c r="D202" s="8">
        <f>IF(A202&lt;=$B$7,F202,IF(OR(A202=$B$12,C202+F202&lt;=ROUND($B$10,2)),C202+F202,ROUND($B$10,2)))</f>
        <v/>
      </c>
      <c r="E202" s="8">
        <f>D202-F202</f>
        <v/>
      </c>
      <c r="F202" s="8">
        <f>ROUND(C202*$B$8,2)</f>
        <v/>
      </c>
      <c r="G202" s="8">
        <f>ROUND(C202-E202,2)</f>
        <v/>
      </c>
    </row>
    <row r="203">
      <c r="A203" s="45">
        <f>A202+1</f>
        <v/>
      </c>
      <c r="B203" s="45">
        <f>ROUNDUP(A203/12,0)</f>
        <v/>
      </c>
      <c r="C203" s="8">
        <f>G202</f>
        <v/>
      </c>
      <c r="D203" s="8">
        <f>IF(A203&lt;=$B$7,F203,IF(OR(A203=$B$12,C203+F203&lt;=ROUND($B$10,2)),C203+F203,ROUND($B$10,2)))</f>
        <v/>
      </c>
      <c r="E203" s="8">
        <f>D203-F203</f>
        <v/>
      </c>
      <c r="F203" s="8">
        <f>ROUND(C203*$B$8,2)</f>
        <v/>
      </c>
      <c r="G203" s="8">
        <f>ROUND(C203-E203,2)</f>
        <v/>
      </c>
    </row>
    <row r="204">
      <c r="A204" s="45">
        <f>A203+1</f>
        <v/>
      </c>
      <c r="B204" s="45">
        <f>ROUNDUP(A204/12,0)</f>
        <v/>
      </c>
      <c r="C204" s="8">
        <f>G203</f>
        <v/>
      </c>
      <c r="D204" s="8">
        <f>IF(A204&lt;=$B$7,F204,IF(OR(A204=$B$12,C204+F204&lt;=ROUND($B$10,2)),C204+F204,ROUND($B$10,2)))</f>
        <v/>
      </c>
      <c r="E204" s="8">
        <f>D204-F204</f>
        <v/>
      </c>
      <c r="F204" s="8">
        <f>ROUND(C204*$B$8,2)</f>
        <v/>
      </c>
      <c r="G204" s="8">
        <f>ROUND(C204-E204,2)</f>
        <v/>
      </c>
    </row>
    <row r="205">
      <c r="A205" s="45">
        <f>A204+1</f>
        <v/>
      </c>
      <c r="B205" s="45">
        <f>ROUNDUP(A205/12,0)</f>
        <v/>
      </c>
      <c r="C205" s="8">
        <f>G204</f>
        <v/>
      </c>
      <c r="D205" s="8">
        <f>IF(A205&lt;=$B$7,F205,IF(OR(A205=$B$12,C205+F205&lt;=ROUND($B$10,2)),C205+F205,ROUND($B$10,2)))</f>
        <v/>
      </c>
      <c r="E205" s="8">
        <f>D205-F205</f>
        <v/>
      </c>
      <c r="F205" s="8">
        <f>ROUND(C205*$B$8,2)</f>
        <v/>
      </c>
      <c r="G205" s="8">
        <f>ROUND(C205-E205,2)</f>
        <v/>
      </c>
    </row>
    <row r="206">
      <c r="A206" s="45">
        <f>A205+1</f>
        <v/>
      </c>
      <c r="B206" s="45">
        <f>ROUNDUP(A206/12,0)</f>
        <v/>
      </c>
      <c r="C206" s="8">
        <f>G205</f>
        <v/>
      </c>
      <c r="D206" s="8">
        <f>IF(A206&lt;=$B$7,F206,IF(OR(A206=$B$12,C206+F206&lt;=ROUND($B$10,2)),C206+F206,ROUND($B$10,2)))</f>
        <v/>
      </c>
      <c r="E206" s="8">
        <f>D206-F206</f>
        <v/>
      </c>
      <c r="F206" s="8">
        <f>ROUND(C206*$B$8,2)</f>
        <v/>
      </c>
      <c r="G206" s="8">
        <f>ROUND(C206-E206,2)</f>
        <v/>
      </c>
    </row>
    <row r="207">
      <c r="A207" s="45">
        <f>A206+1</f>
        <v/>
      </c>
      <c r="B207" s="45">
        <f>ROUNDUP(A207/12,0)</f>
        <v/>
      </c>
      <c r="C207" s="8">
        <f>G206</f>
        <v/>
      </c>
      <c r="D207" s="8">
        <f>IF(A207&lt;=$B$7,F207,IF(OR(A207=$B$12,C207+F207&lt;=ROUND($B$10,2)),C207+F207,ROUND($B$10,2)))</f>
        <v/>
      </c>
      <c r="E207" s="8">
        <f>D207-F207</f>
        <v/>
      </c>
      <c r="F207" s="8">
        <f>ROUND(C207*$B$8,2)</f>
        <v/>
      </c>
      <c r="G207" s="8">
        <f>ROUND(C207-E207,2)</f>
        <v/>
      </c>
    </row>
    <row r="208">
      <c r="A208" s="45">
        <f>A207+1</f>
        <v/>
      </c>
      <c r="B208" s="45">
        <f>ROUNDUP(A208/12,0)</f>
        <v/>
      </c>
      <c r="C208" s="8">
        <f>G207</f>
        <v/>
      </c>
      <c r="D208" s="8">
        <f>IF(A208&lt;=$B$7,F208,IF(OR(A208=$B$12,C208+F208&lt;=ROUND($B$10,2)),C208+F208,ROUND($B$10,2)))</f>
        <v/>
      </c>
      <c r="E208" s="8">
        <f>D208-F208</f>
        <v/>
      </c>
      <c r="F208" s="8">
        <f>ROUND(C208*$B$8,2)</f>
        <v/>
      </c>
      <c r="G208" s="8">
        <f>ROUND(C208-E208,2)</f>
        <v/>
      </c>
    </row>
    <row r="209">
      <c r="A209" s="45">
        <f>A208+1</f>
        <v/>
      </c>
      <c r="B209" s="45">
        <f>ROUNDUP(A209/12,0)</f>
        <v/>
      </c>
      <c r="C209" s="8">
        <f>G208</f>
        <v/>
      </c>
      <c r="D209" s="8">
        <f>IF(A209&lt;=$B$7,F209,IF(OR(A209=$B$12,C209+F209&lt;=ROUND($B$10,2)),C209+F209,ROUND($B$10,2)))</f>
        <v/>
      </c>
      <c r="E209" s="8">
        <f>D209-F209</f>
        <v/>
      </c>
      <c r="F209" s="8">
        <f>ROUND(C209*$B$8,2)</f>
        <v/>
      </c>
      <c r="G209" s="8">
        <f>ROUND(C209-E209,2)</f>
        <v/>
      </c>
    </row>
    <row r="210">
      <c r="A210" s="45">
        <f>A209+1</f>
        <v/>
      </c>
      <c r="B210" s="45">
        <f>ROUNDUP(A210/12,0)</f>
        <v/>
      </c>
      <c r="C210" s="8">
        <f>G209</f>
        <v/>
      </c>
      <c r="D210" s="8">
        <f>IF(A210&lt;=$B$7,F210,IF(OR(A210=$B$12,C210+F210&lt;=ROUND($B$10,2)),C210+F210,ROUND($B$10,2)))</f>
        <v/>
      </c>
      <c r="E210" s="8">
        <f>D210-F210</f>
        <v/>
      </c>
      <c r="F210" s="8">
        <f>ROUND(C210*$B$8,2)</f>
        <v/>
      </c>
      <c r="G210" s="8">
        <f>ROUND(C210-E210,2)</f>
        <v/>
      </c>
    </row>
    <row r="211">
      <c r="A211" s="45">
        <f>A210+1</f>
        <v/>
      </c>
      <c r="B211" s="45">
        <f>ROUNDUP(A211/12,0)</f>
        <v/>
      </c>
      <c r="C211" s="8">
        <f>G210</f>
        <v/>
      </c>
      <c r="D211" s="8">
        <f>IF(A211&lt;=$B$7,F211,IF(OR(A211=$B$12,C211+F211&lt;=ROUND($B$10,2)),C211+F211,ROUND($B$10,2)))</f>
        <v/>
      </c>
      <c r="E211" s="8">
        <f>D211-F211</f>
        <v/>
      </c>
      <c r="F211" s="8">
        <f>ROUND(C211*$B$8,2)</f>
        <v/>
      </c>
      <c r="G211" s="8">
        <f>ROUND(C211-E211,2)</f>
        <v/>
      </c>
    </row>
    <row r="212">
      <c r="A212" s="45">
        <f>A211+1</f>
        <v/>
      </c>
      <c r="B212" s="45">
        <f>ROUNDUP(A212/12,0)</f>
        <v/>
      </c>
      <c r="C212" s="8">
        <f>G211</f>
        <v/>
      </c>
      <c r="D212" s="8">
        <f>IF(A212&lt;=$B$7,F212,IF(OR(A212=$B$12,C212+F212&lt;=ROUND($B$10,2)),C212+F212,ROUND($B$10,2)))</f>
        <v/>
      </c>
      <c r="E212" s="8">
        <f>D212-F212</f>
        <v/>
      </c>
      <c r="F212" s="8">
        <f>ROUND(C212*$B$8,2)</f>
        <v/>
      </c>
      <c r="G212" s="8">
        <f>ROUND(C212-E212,2)</f>
        <v/>
      </c>
    </row>
    <row r="213">
      <c r="A213" s="45">
        <f>A212+1</f>
        <v/>
      </c>
      <c r="B213" s="45">
        <f>ROUNDUP(A213/12,0)</f>
        <v/>
      </c>
      <c r="C213" s="8">
        <f>G212</f>
        <v/>
      </c>
      <c r="D213" s="8">
        <f>IF(A213&lt;=$B$7,F213,IF(OR(A213=$B$12,C213+F213&lt;=ROUND($B$10,2)),C213+F213,ROUND($B$10,2)))</f>
        <v/>
      </c>
      <c r="E213" s="8">
        <f>D213-F213</f>
        <v/>
      </c>
      <c r="F213" s="8">
        <f>ROUND(C213*$B$8,2)</f>
        <v/>
      </c>
      <c r="G213" s="8">
        <f>ROUND(C213-E213,2)</f>
        <v/>
      </c>
    </row>
    <row r="214">
      <c r="A214" s="45">
        <f>A213+1</f>
        <v/>
      </c>
      <c r="B214" s="45">
        <f>ROUNDUP(A214/12,0)</f>
        <v/>
      </c>
      <c r="C214" s="8">
        <f>G213</f>
        <v/>
      </c>
      <c r="D214" s="8">
        <f>IF(A214&lt;=$B$7,F214,IF(OR(A214=$B$12,C214+F214&lt;=ROUND($B$10,2)),C214+F214,ROUND($B$10,2)))</f>
        <v/>
      </c>
      <c r="E214" s="8">
        <f>D214-F214</f>
        <v/>
      </c>
      <c r="F214" s="8">
        <f>ROUND(C214*$B$8,2)</f>
        <v/>
      </c>
      <c r="G214" s="8">
        <f>ROUND(C214-E214,2)</f>
        <v/>
      </c>
    </row>
    <row r="215">
      <c r="A215" s="45">
        <f>A214+1</f>
        <v/>
      </c>
      <c r="B215" s="45">
        <f>ROUNDUP(A215/12,0)</f>
        <v/>
      </c>
      <c r="C215" s="8">
        <f>G214</f>
        <v/>
      </c>
      <c r="D215" s="8">
        <f>IF(A215&lt;=$B$7,F215,IF(OR(A215=$B$12,C215+F215&lt;=ROUND($B$10,2)),C215+F215,ROUND($B$10,2)))</f>
        <v/>
      </c>
      <c r="E215" s="8">
        <f>D215-F215</f>
        <v/>
      </c>
      <c r="F215" s="8">
        <f>ROUND(C215*$B$8,2)</f>
        <v/>
      </c>
      <c r="G215" s="8">
        <f>ROUND(C215-E215,2)</f>
        <v/>
      </c>
    </row>
    <row r="216">
      <c r="A216" s="45">
        <f>A215+1</f>
        <v/>
      </c>
      <c r="B216" s="45">
        <f>ROUNDUP(A216/12,0)</f>
        <v/>
      </c>
      <c r="C216" s="8">
        <f>G215</f>
        <v/>
      </c>
      <c r="D216" s="8">
        <f>IF(A216&lt;=$B$7,F216,IF(OR(A216=$B$12,C216+F216&lt;=ROUND($B$10,2)),C216+F216,ROUND($B$10,2)))</f>
        <v/>
      </c>
      <c r="E216" s="8">
        <f>D216-F216</f>
        <v/>
      </c>
      <c r="F216" s="8">
        <f>ROUND(C216*$B$8,2)</f>
        <v/>
      </c>
      <c r="G216" s="8">
        <f>ROUND(C216-E216,2)</f>
        <v/>
      </c>
    </row>
    <row r="217">
      <c r="A217" s="45">
        <f>A216+1</f>
        <v/>
      </c>
      <c r="B217" s="45">
        <f>ROUNDUP(A217/12,0)</f>
        <v/>
      </c>
      <c r="C217" s="8">
        <f>G216</f>
        <v/>
      </c>
      <c r="D217" s="8">
        <f>IF(A217&lt;=$B$7,F217,IF(OR(A217=$B$12,C217+F217&lt;=ROUND($B$10,2)),C217+F217,ROUND($B$10,2)))</f>
        <v/>
      </c>
      <c r="E217" s="8">
        <f>D217-F217</f>
        <v/>
      </c>
      <c r="F217" s="8">
        <f>ROUND(C217*$B$8,2)</f>
        <v/>
      </c>
      <c r="G217" s="8">
        <f>ROUND(C217-E217,2)</f>
        <v/>
      </c>
    </row>
    <row r="218">
      <c r="A218" s="45">
        <f>A217+1</f>
        <v/>
      </c>
      <c r="B218" s="45">
        <f>ROUNDUP(A218/12,0)</f>
        <v/>
      </c>
      <c r="C218" s="8">
        <f>G217</f>
        <v/>
      </c>
      <c r="D218" s="8">
        <f>IF(A218&lt;=$B$7,F218,IF(OR(A218=$B$12,C218+F218&lt;=ROUND($B$10,2)),C218+F218,ROUND($B$10,2)))</f>
        <v/>
      </c>
      <c r="E218" s="8">
        <f>D218-F218</f>
        <v/>
      </c>
      <c r="F218" s="8">
        <f>ROUND(C218*$B$8,2)</f>
        <v/>
      </c>
      <c r="G218" s="8">
        <f>ROUND(C218-E218,2)</f>
        <v/>
      </c>
    </row>
    <row r="219">
      <c r="A219" s="45">
        <f>A218+1</f>
        <v/>
      </c>
      <c r="B219" s="45">
        <f>ROUNDUP(A219/12,0)</f>
        <v/>
      </c>
      <c r="C219" s="8">
        <f>G218</f>
        <v/>
      </c>
      <c r="D219" s="8">
        <f>IF(A219&lt;=$B$7,F219,IF(OR(A219=$B$12,C219+F219&lt;=ROUND($B$10,2)),C219+F219,ROUND($B$10,2)))</f>
        <v/>
      </c>
      <c r="E219" s="8">
        <f>D219-F219</f>
        <v/>
      </c>
      <c r="F219" s="8">
        <f>ROUND(C219*$B$8,2)</f>
        <v/>
      </c>
      <c r="G219" s="8">
        <f>ROUND(C219-E219,2)</f>
        <v/>
      </c>
    </row>
    <row r="220">
      <c r="A220" s="45">
        <f>A219+1</f>
        <v/>
      </c>
      <c r="B220" s="45">
        <f>ROUNDUP(A220/12,0)</f>
        <v/>
      </c>
      <c r="C220" s="8">
        <f>G219</f>
        <v/>
      </c>
      <c r="D220" s="8">
        <f>IF(A220&lt;=$B$7,F220,IF(OR(A220=$B$12,C220+F220&lt;=ROUND($B$10,2)),C220+F220,ROUND($B$10,2)))</f>
        <v/>
      </c>
      <c r="E220" s="8">
        <f>D220-F220</f>
        <v/>
      </c>
      <c r="F220" s="8">
        <f>ROUND(C220*$B$8,2)</f>
        <v/>
      </c>
      <c r="G220" s="8">
        <f>ROUND(C220-E220,2)</f>
        <v/>
      </c>
    </row>
    <row r="221">
      <c r="A221" s="45">
        <f>A220+1</f>
        <v/>
      </c>
      <c r="B221" s="45">
        <f>ROUNDUP(A221/12,0)</f>
        <v/>
      </c>
      <c r="C221" s="8">
        <f>G220</f>
        <v/>
      </c>
      <c r="D221" s="8">
        <f>IF(A221&lt;=$B$7,F221,IF(OR(A221=$B$12,C221+F221&lt;=ROUND($B$10,2)),C221+F221,ROUND($B$10,2)))</f>
        <v/>
      </c>
      <c r="E221" s="8">
        <f>D221-F221</f>
        <v/>
      </c>
      <c r="F221" s="8">
        <f>ROUND(C221*$B$8,2)</f>
        <v/>
      </c>
      <c r="G221" s="8">
        <f>ROUND(C221-E221,2)</f>
        <v/>
      </c>
    </row>
    <row r="222">
      <c r="A222" s="45">
        <f>A221+1</f>
        <v/>
      </c>
      <c r="B222" s="45">
        <f>ROUNDUP(A222/12,0)</f>
        <v/>
      </c>
      <c r="C222" s="8">
        <f>G221</f>
        <v/>
      </c>
      <c r="D222" s="8">
        <f>IF(A222&lt;=$B$7,F222,IF(OR(A222=$B$12,C222+F222&lt;=ROUND($B$10,2)),C222+F222,ROUND($B$10,2)))</f>
        <v/>
      </c>
      <c r="E222" s="8">
        <f>D222-F222</f>
        <v/>
      </c>
      <c r="F222" s="8">
        <f>ROUND(C222*$B$8,2)</f>
        <v/>
      </c>
      <c r="G222" s="8">
        <f>ROUND(C222-E222,2)</f>
        <v/>
      </c>
    </row>
    <row r="223">
      <c r="A223" s="45">
        <f>A222+1</f>
        <v/>
      </c>
      <c r="B223" s="45">
        <f>ROUNDUP(A223/12,0)</f>
        <v/>
      </c>
      <c r="C223" s="8">
        <f>G222</f>
        <v/>
      </c>
      <c r="D223" s="8">
        <f>IF(A223&lt;=$B$7,F223,IF(OR(A223=$B$12,C223+F223&lt;=ROUND($B$10,2)),C223+F223,ROUND($B$10,2)))</f>
        <v/>
      </c>
      <c r="E223" s="8">
        <f>D223-F223</f>
        <v/>
      </c>
      <c r="F223" s="8">
        <f>ROUND(C223*$B$8,2)</f>
        <v/>
      </c>
      <c r="G223" s="8">
        <f>ROUND(C223-E223,2)</f>
        <v/>
      </c>
    </row>
    <row r="224">
      <c r="A224" s="45">
        <f>A223+1</f>
        <v/>
      </c>
      <c r="B224" s="45">
        <f>ROUNDUP(A224/12,0)</f>
        <v/>
      </c>
      <c r="C224" s="8">
        <f>G223</f>
        <v/>
      </c>
      <c r="D224" s="8">
        <f>IF(A224&lt;=$B$7,F224,IF(OR(A224=$B$12,C224+F224&lt;=ROUND($B$10,2)),C224+F224,ROUND($B$10,2)))</f>
        <v/>
      </c>
      <c r="E224" s="8">
        <f>D224-F224</f>
        <v/>
      </c>
      <c r="F224" s="8">
        <f>ROUND(C224*$B$8,2)</f>
        <v/>
      </c>
      <c r="G224" s="8">
        <f>ROUND(C224-E224,2)</f>
        <v/>
      </c>
    </row>
    <row r="225">
      <c r="A225" s="45">
        <f>A224+1</f>
        <v/>
      </c>
      <c r="B225" s="45">
        <f>ROUNDUP(A225/12,0)</f>
        <v/>
      </c>
      <c r="C225" s="8">
        <f>G224</f>
        <v/>
      </c>
      <c r="D225" s="8">
        <f>IF(A225&lt;=$B$7,F225,IF(OR(A225=$B$12,C225+F225&lt;=ROUND($B$10,2)),C225+F225,ROUND($B$10,2)))</f>
        <v/>
      </c>
      <c r="E225" s="8">
        <f>D225-F225</f>
        <v/>
      </c>
      <c r="F225" s="8">
        <f>ROUND(C225*$B$8,2)</f>
        <v/>
      </c>
      <c r="G225" s="8">
        <f>ROUND(C225-E225,2)</f>
        <v/>
      </c>
    </row>
    <row r="226">
      <c r="A226" s="45">
        <f>A225+1</f>
        <v/>
      </c>
      <c r="B226" s="45">
        <f>ROUNDUP(A226/12,0)</f>
        <v/>
      </c>
      <c r="C226" s="8">
        <f>G225</f>
        <v/>
      </c>
      <c r="D226" s="8">
        <f>IF(A226&lt;=$B$7,F226,IF(OR(A226=$B$12,C226+F226&lt;=ROUND($B$10,2)),C226+F226,ROUND($B$10,2)))</f>
        <v/>
      </c>
      <c r="E226" s="8">
        <f>D226-F226</f>
        <v/>
      </c>
      <c r="F226" s="8">
        <f>ROUND(C226*$B$8,2)</f>
        <v/>
      </c>
      <c r="G226" s="8">
        <f>ROUND(C226-E226,2)</f>
        <v/>
      </c>
    </row>
    <row r="227">
      <c r="A227" s="45">
        <f>A226+1</f>
        <v/>
      </c>
      <c r="B227" s="45">
        <f>ROUNDUP(A227/12,0)</f>
        <v/>
      </c>
      <c r="C227" s="8">
        <f>G226</f>
        <v/>
      </c>
      <c r="D227" s="8">
        <f>IF(A227&lt;=$B$7,F227,IF(OR(A227=$B$12,C227+F227&lt;=ROUND($B$10,2)),C227+F227,ROUND($B$10,2)))</f>
        <v/>
      </c>
      <c r="E227" s="8">
        <f>D227-F227</f>
        <v/>
      </c>
      <c r="F227" s="8">
        <f>ROUND(C227*$B$8,2)</f>
        <v/>
      </c>
      <c r="G227" s="8">
        <f>ROUND(C227-E227,2)</f>
        <v/>
      </c>
    </row>
    <row r="228">
      <c r="A228" s="45">
        <f>A227+1</f>
        <v/>
      </c>
      <c r="B228" s="45">
        <f>ROUNDUP(A228/12,0)</f>
        <v/>
      </c>
      <c r="C228" s="8">
        <f>G227</f>
        <v/>
      </c>
      <c r="D228" s="8">
        <f>IF(A228&lt;=$B$7,F228,IF(OR(A228=$B$12,C228+F228&lt;=ROUND($B$10,2)),C228+F228,ROUND($B$10,2)))</f>
        <v/>
      </c>
      <c r="E228" s="8">
        <f>D228-F228</f>
        <v/>
      </c>
      <c r="F228" s="8">
        <f>ROUND(C228*$B$8,2)</f>
        <v/>
      </c>
      <c r="G228" s="8">
        <f>ROUND(C228-E228,2)</f>
        <v/>
      </c>
    </row>
    <row r="229">
      <c r="A229" s="45">
        <f>A228+1</f>
        <v/>
      </c>
      <c r="B229" s="45">
        <f>ROUNDUP(A229/12,0)</f>
        <v/>
      </c>
      <c r="C229" s="8">
        <f>G228</f>
        <v/>
      </c>
      <c r="D229" s="8">
        <f>IF(A229&lt;=$B$7,F229,IF(OR(A229=$B$12,C229+F229&lt;=ROUND($B$10,2)),C229+F229,ROUND($B$10,2)))</f>
        <v/>
      </c>
      <c r="E229" s="8">
        <f>D229-F229</f>
        <v/>
      </c>
      <c r="F229" s="8">
        <f>ROUND(C229*$B$8,2)</f>
        <v/>
      </c>
      <c r="G229" s="8">
        <f>ROUND(C229-E229,2)</f>
        <v/>
      </c>
    </row>
    <row r="230">
      <c r="A230" s="45">
        <f>A229+1</f>
        <v/>
      </c>
      <c r="B230" s="45">
        <f>ROUNDUP(A230/12,0)</f>
        <v/>
      </c>
      <c r="C230" s="8">
        <f>G229</f>
        <v/>
      </c>
      <c r="D230" s="8">
        <f>IF(A230&lt;=$B$7,F230,IF(OR(A230=$B$12,C230+F230&lt;=ROUND($B$10,2)),C230+F230,ROUND($B$10,2)))</f>
        <v/>
      </c>
      <c r="E230" s="8">
        <f>D230-F230</f>
        <v/>
      </c>
      <c r="F230" s="8">
        <f>ROUND(C230*$B$8,2)</f>
        <v/>
      </c>
      <c r="G230" s="8">
        <f>ROUND(C230-E230,2)</f>
        <v/>
      </c>
    </row>
    <row r="231">
      <c r="A231" s="45">
        <f>A230+1</f>
        <v/>
      </c>
      <c r="B231" s="45">
        <f>ROUNDUP(A231/12,0)</f>
        <v/>
      </c>
      <c r="C231" s="8">
        <f>G230</f>
        <v/>
      </c>
      <c r="D231" s="8">
        <f>IF(A231&lt;=$B$7,F231,IF(OR(A231=$B$12,C231+F231&lt;=ROUND($B$10,2)),C231+F231,ROUND($B$10,2)))</f>
        <v/>
      </c>
      <c r="E231" s="8">
        <f>D231-F231</f>
        <v/>
      </c>
      <c r="F231" s="8">
        <f>ROUND(C231*$B$8,2)</f>
        <v/>
      </c>
      <c r="G231" s="8">
        <f>ROUND(C231-E231,2)</f>
        <v/>
      </c>
    </row>
    <row r="232">
      <c r="A232" s="45">
        <f>A231+1</f>
        <v/>
      </c>
      <c r="B232" s="45">
        <f>ROUNDUP(A232/12,0)</f>
        <v/>
      </c>
      <c r="C232" s="8">
        <f>G231</f>
        <v/>
      </c>
      <c r="D232" s="8">
        <f>IF(A232&lt;=$B$7,F232,IF(OR(A232=$B$12,C232+F232&lt;=ROUND($B$10,2)),C232+F232,ROUND($B$10,2)))</f>
        <v/>
      </c>
      <c r="E232" s="8">
        <f>D232-F232</f>
        <v/>
      </c>
      <c r="F232" s="8">
        <f>ROUND(C232*$B$8,2)</f>
        <v/>
      </c>
      <c r="G232" s="8">
        <f>ROUND(C232-E232,2)</f>
        <v/>
      </c>
    </row>
    <row r="233">
      <c r="A233" s="45">
        <f>A232+1</f>
        <v/>
      </c>
      <c r="B233" s="45">
        <f>ROUNDUP(A233/12,0)</f>
        <v/>
      </c>
      <c r="C233" s="8">
        <f>G232</f>
        <v/>
      </c>
      <c r="D233" s="8">
        <f>IF(A233&lt;=$B$7,F233,IF(OR(A233=$B$12,C233+F233&lt;=ROUND($B$10,2)),C233+F233,ROUND($B$10,2)))</f>
        <v/>
      </c>
      <c r="E233" s="8">
        <f>D233-F233</f>
        <v/>
      </c>
      <c r="F233" s="8">
        <f>ROUND(C233*$B$8,2)</f>
        <v/>
      </c>
      <c r="G233" s="8">
        <f>ROUND(C233-E233,2)</f>
        <v/>
      </c>
    </row>
    <row r="234">
      <c r="A234" s="45">
        <f>A233+1</f>
        <v/>
      </c>
      <c r="B234" s="45">
        <f>ROUNDUP(A234/12,0)</f>
        <v/>
      </c>
      <c r="C234" s="8">
        <f>G233</f>
        <v/>
      </c>
      <c r="D234" s="8">
        <f>IF(A234&lt;=$B$7,F234,IF(OR(A234=$B$12,C234+F234&lt;=ROUND($B$10,2)),C234+F234,ROUND($B$10,2)))</f>
        <v/>
      </c>
      <c r="E234" s="8">
        <f>D234-F234</f>
        <v/>
      </c>
      <c r="F234" s="8">
        <f>ROUND(C234*$B$8,2)</f>
        <v/>
      </c>
      <c r="G234" s="8">
        <f>ROUND(C234-E234,2)</f>
        <v/>
      </c>
    </row>
    <row r="235">
      <c r="A235" s="45">
        <f>A234+1</f>
        <v/>
      </c>
      <c r="B235" s="45">
        <f>ROUNDUP(A235/12,0)</f>
        <v/>
      </c>
      <c r="C235" s="8">
        <f>G234</f>
        <v/>
      </c>
      <c r="D235" s="8">
        <f>IF(A235&lt;=$B$7,F235,IF(OR(A235=$B$12,C235+F235&lt;=ROUND($B$10,2)),C235+F235,ROUND($B$10,2)))</f>
        <v/>
      </c>
      <c r="E235" s="8">
        <f>D235-F235</f>
        <v/>
      </c>
      <c r="F235" s="8">
        <f>ROUND(C235*$B$8,2)</f>
        <v/>
      </c>
      <c r="G235" s="8">
        <f>ROUND(C235-E235,2)</f>
        <v/>
      </c>
    </row>
    <row r="236">
      <c r="A236" s="45">
        <f>A235+1</f>
        <v/>
      </c>
      <c r="B236" s="45">
        <f>ROUNDUP(A236/12,0)</f>
        <v/>
      </c>
      <c r="C236" s="8">
        <f>G235</f>
        <v/>
      </c>
      <c r="D236" s="8">
        <f>IF(A236&lt;=$B$7,F236,IF(OR(A236=$B$12,C236+F236&lt;=ROUND($B$10,2)),C236+F236,ROUND($B$10,2)))</f>
        <v/>
      </c>
      <c r="E236" s="8">
        <f>D236-F236</f>
        <v/>
      </c>
      <c r="F236" s="8">
        <f>ROUND(C236*$B$8,2)</f>
        <v/>
      </c>
      <c r="G236" s="8">
        <f>ROUND(C236-E236,2)</f>
        <v/>
      </c>
    </row>
    <row r="237">
      <c r="A237" s="45">
        <f>A236+1</f>
        <v/>
      </c>
      <c r="B237" s="45">
        <f>ROUNDUP(A237/12,0)</f>
        <v/>
      </c>
      <c r="C237" s="8">
        <f>G236</f>
        <v/>
      </c>
      <c r="D237" s="8">
        <f>IF(A237&lt;=$B$7,F237,IF(OR(A237=$B$12,C237+F237&lt;=ROUND($B$10,2)),C237+F237,ROUND($B$10,2)))</f>
        <v/>
      </c>
      <c r="E237" s="8">
        <f>D237-F237</f>
        <v/>
      </c>
      <c r="F237" s="8">
        <f>ROUND(C237*$B$8,2)</f>
        <v/>
      </c>
      <c r="G237" s="8">
        <f>ROUND(C237-E237,2)</f>
        <v/>
      </c>
    </row>
    <row r="238">
      <c r="A238" s="45">
        <f>A237+1</f>
        <v/>
      </c>
      <c r="B238" s="45">
        <f>ROUNDUP(A238/12,0)</f>
        <v/>
      </c>
      <c r="C238" s="8">
        <f>G237</f>
        <v/>
      </c>
      <c r="D238" s="8">
        <f>IF(A238&lt;=$B$7,F238,IF(OR(A238=$B$12,C238+F238&lt;=ROUND($B$10,2)),C238+F238,ROUND($B$10,2)))</f>
        <v/>
      </c>
      <c r="E238" s="8">
        <f>D238-F238</f>
        <v/>
      </c>
      <c r="F238" s="8">
        <f>ROUND(C238*$B$8,2)</f>
        <v/>
      </c>
      <c r="G238" s="8">
        <f>ROUND(C238-E238,2)</f>
        <v/>
      </c>
    </row>
    <row r="239">
      <c r="A239" s="45">
        <f>A238+1</f>
        <v/>
      </c>
      <c r="B239" s="45">
        <f>ROUNDUP(A239/12,0)</f>
        <v/>
      </c>
      <c r="C239" s="8">
        <f>G238</f>
        <v/>
      </c>
      <c r="D239" s="8">
        <f>IF(A239&lt;=$B$7,F239,IF(OR(A239=$B$12,C239+F239&lt;=ROUND($B$10,2)),C239+F239,ROUND($B$10,2)))</f>
        <v/>
      </c>
      <c r="E239" s="8">
        <f>D239-F239</f>
        <v/>
      </c>
      <c r="F239" s="8">
        <f>ROUND(C239*$B$8,2)</f>
        <v/>
      </c>
      <c r="G239" s="8">
        <f>ROUND(C239-E239,2)</f>
        <v/>
      </c>
    </row>
    <row r="240">
      <c r="A240" s="45">
        <f>A239+1</f>
        <v/>
      </c>
      <c r="B240" s="45">
        <f>ROUNDUP(A240/12,0)</f>
        <v/>
      </c>
      <c r="C240" s="8">
        <f>G239</f>
        <v/>
      </c>
      <c r="D240" s="8">
        <f>IF(A240&lt;=$B$7,F240,IF(OR(A240=$B$12,C240+F240&lt;=ROUND($B$10,2)),C240+F240,ROUND($B$10,2)))</f>
        <v/>
      </c>
      <c r="E240" s="8">
        <f>D240-F240</f>
        <v/>
      </c>
      <c r="F240" s="8">
        <f>ROUND(C240*$B$8,2)</f>
        <v/>
      </c>
      <c r="G240" s="8">
        <f>ROUND(C240-E240,2)</f>
        <v/>
      </c>
    </row>
    <row r="241">
      <c r="A241" s="45">
        <f>A240+1</f>
        <v/>
      </c>
      <c r="B241" s="45">
        <f>ROUNDUP(A241/12,0)</f>
        <v/>
      </c>
      <c r="C241" s="8">
        <f>G240</f>
        <v/>
      </c>
      <c r="D241" s="8">
        <f>IF(A241&lt;=$B$7,F241,IF(OR(A241=$B$12,C241+F241&lt;=ROUND($B$10,2)),C241+F241,ROUND($B$10,2)))</f>
        <v/>
      </c>
      <c r="E241" s="8">
        <f>D241-F241</f>
        <v/>
      </c>
      <c r="F241" s="8">
        <f>ROUND(C241*$B$8,2)</f>
        <v/>
      </c>
      <c r="G241" s="8">
        <f>ROUND(C241-E241,2)</f>
        <v/>
      </c>
    </row>
    <row r="242">
      <c r="A242" s="45">
        <f>A241+1</f>
        <v/>
      </c>
      <c r="B242" s="45">
        <f>ROUNDUP(A242/12,0)</f>
        <v/>
      </c>
      <c r="C242" s="8">
        <f>G241</f>
        <v/>
      </c>
      <c r="D242" s="8">
        <f>IF(A242&lt;=$B$7,F242,IF(OR(A242=$B$12,C242+F242&lt;=ROUND($B$10,2)),C242+F242,ROUND($B$10,2)))</f>
        <v/>
      </c>
      <c r="E242" s="8">
        <f>D242-F242</f>
        <v/>
      </c>
      <c r="F242" s="8">
        <f>ROUND(C242*$B$8,2)</f>
        <v/>
      </c>
      <c r="G242" s="8">
        <f>ROUND(C242-E242,2)</f>
        <v/>
      </c>
    </row>
    <row r="243">
      <c r="A243" s="45">
        <f>A242+1</f>
        <v/>
      </c>
      <c r="B243" s="45">
        <f>ROUNDUP(A243/12,0)</f>
        <v/>
      </c>
      <c r="C243" s="8">
        <f>G242</f>
        <v/>
      </c>
      <c r="D243" s="8">
        <f>IF(A243&lt;=$B$7,F243,IF(OR(A243=$B$12,C243+F243&lt;=ROUND($B$10,2)),C243+F243,ROUND($B$10,2)))</f>
        <v/>
      </c>
      <c r="E243" s="8">
        <f>D243-F243</f>
        <v/>
      </c>
      <c r="F243" s="8">
        <f>ROUND(C243*$B$8,2)</f>
        <v/>
      </c>
      <c r="G243" s="8">
        <f>ROUND(C243-E243,2)</f>
        <v/>
      </c>
    </row>
    <row r="244">
      <c r="A244" s="45">
        <f>A243+1</f>
        <v/>
      </c>
      <c r="B244" s="45">
        <f>ROUNDUP(A244/12,0)</f>
        <v/>
      </c>
      <c r="C244" s="8">
        <f>G243</f>
        <v/>
      </c>
      <c r="D244" s="8">
        <f>IF(A244&lt;=$B$7,F244,IF(OR(A244=$B$12,C244+F244&lt;=ROUND($B$10,2)),C244+F244,ROUND($B$10,2)))</f>
        <v/>
      </c>
      <c r="E244" s="8">
        <f>D244-F244</f>
        <v/>
      </c>
      <c r="F244" s="8">
        <f>ROUND(C244*$B$8,2)</f>
        <v/>
      </c>
      <c r="G244" s="8">
        <f>ROUND(C244-E244,2)</f>
        <v/>
      </c>
    </row>
    <row r="245">
      <c r="A245" s="45">
        <f>A244+1</f>
        <v/>
      </c>
      <c r="B245" s="45">
        <f>ROUNDUP(A245/12,0)</f>
        <v/>
      </c>
      <c r="C245" s="8">
        <f>G244</f>
        <v/>
      </c>
      <c r="D245" s="8">
        <f>IF(A245&lt;=$B$7,F245,IF(OR(A245=$B$12,C245+F245&lt;=ROUND($B$10,2)),C245+F245,ROUND($B$10,2)))</f>
        <v/>
      </c>
      <c r="E245" s="8">
        <f>D245-F245</f>
        <v/>
      </c>
      <c r="F245" s="8">
        <f>ROUND(C245*$B$8,2)</f>
        <v/>
      </c>
      <c r="G245" s="8">
        <f>ROUND(C245-E245,2)</f>
        <v/>
      </c>
    </row>
    <row r="246">
      <c r="A246" s="45">
        <f>A245+1</f>
        <v/>
      </c>
      <c r="B246" s="45">
        <f>ROUNDUP(A246/12,0)</f>
        <v/>
      </c>
      <c r="C246" s="8">
        <f>G245</f>
        <v/>
      </c>
      <c r="D246" s="8">
        <f>IF(A246&lt;=$B$7,F246,IF(OR(A246=$B$12,C246+F246&lt;=ROUND($B$10,2)),C246+F246,ROUND($B$10,2)))</f>
        <v/>
      </c>
      <c r="E246" s="8">
        <f>D246-F246</f>
        <v/>
      </c>
      <c r="F246" s="8">
        <f>ROUND(C246*$B$8,2)</f>
        <v/>
      </c>
      <c r="G246" s="8">
        <f>ROUND(C246-E246,2)</f>
        <v/>
      </c>
    </row>
    <row r="247">
      <c r="A247" s="45">
        <f>A246+1</f>
        <v/>
      </c>
      <c r="B247" s="45">
        <f>ROUNDUP(A247/12,0)</f>
        <v/>
      </c>
      <c r="C247" s="8">
        <f>G246</f>
        <v/>
      </c>
      <c r="D247" s="8">
        <f>IF(A247&lt;=$B$7,F247,IF(OR(A247=$B$12,C247+F247&lt;=ROUND($B$10,2)),C247+F247,ROUND($B$10,2)))</f>
        <v/>
      </c>
      <c r="E247" s="8">
        <f>D247-F247</f>
        <v/>
      </c>
      <c r="F247" s="8">
        <f>ROUND(C247*$B$8,2)</f>
        <v/>
      </c>
      <c r="G247" s="8">
        <f>ROUND(C247-E247,2)</f>
        <v/>
      </c>
    </row>
    <row r="248">
      <c r="A248" s="45">
        <f>A247+1</f>
        <v/>
      </c>
      <c r="B248" s="45">
        <f>ROUNDUP(A248/12,0)</f>
        <v/>
      </c>
      <c r="C248" s="8">
        <f>G247</f>
        <v/>
      </c>
      <c r="D248" s="8">
        <f>IF(A248&lt;=$B$7,F248,IF(OR(A248=$B$12,C248+F248&lt;=ROUND($B$10,2)),C248+F248,ROUND($B$10,2)))</f>
        <v/>
      </c>
      <c r="E248" s="8">
        <f>D248-F248</f>
        <v/>
      </c>
      <c r="F248" s="8">
        <f>ROUND(C248*$B$8,2)</f>
        <v/>
      </c>
      <c r="G248" s="8">
        <f>ROUND(C248-E248,2)</f>
        <v/>
      </c>
    </row>
    <row r="249">
      <c r="A249" s="45">
        <f>A248+1</f>
        <v/>
      </c>
      <c r="B249" s="45">
        <f>ROUNDUP(A249/12,0)</f>
        <v/>
      </c>
      <c r="C249" s="8">
        <f>G248</f>
        <v/>
      </c>
      <c r="D249" s="8">
        <f>IF(A249&lt;=$B$7,F249,IF(OR(A249=$B$12,C249+F249&lt;=ROUND($B$10,2)),C249+F249,ROUND($B$10,2)))</f>
        <v/>
      </c>
      <c r="E249" s="8">
        <f>D249-F249</f>
        <v/>
      </c>
      <c r="F249" s="8">
        <f>ROUND(C249*$B$8,2)</f>
        <v/>
      </c>
      <c r="G249" s="8">
        <f>ROUND(C249-E249,2)</f>
        <v/>
      </c>
    </row>
    <row r="250">
      <c r="A250" s="45">
        <f>A249+1</f>
        <v/>
      </c>
      <c r="B250" s="45">
        <f>ROUNDUP(A250/12,0)</f>
        <v/>
      </c>
      <c r="C250" s="8">
        <f>G249</f>
        <v/>
      </c>
      <c r="D250" s="8">
        <f>IF(A250&lt;=$B$7,F250,IF(OR(A250=$B$12,C250+F250&lt;=ROUND($B$10,2)),C250+F250,ROUND($B$10,2)))</f>
        <v/>
      </c>
      <c r="E250" s="8">
        <f>D250-F250</f>
        <v/>
      </c>
      <c r="F250" s="8">
        <f>ROUND(C250*$B$8,2)</f>
        <v/>
      </c>
      <c r="G250" s="8">
        <f>ROUND(C250-E250,2)</f>
        <v/>
      </c>
    </row>
    <row r="251">
      <c r="A251" s="45">
        <f>A250+1</f>
        <v/>
      </c>
      <c r="B251" s="45">
        <f>ROUNDUP(A251/12,0)</f>
        <v/>
      </c>
      <c r="C251" s="8">
        <f>G250</f>
        <v/>
      </c>
      <c r="D251" s="8">
        <f>IF(A251&lt;=$B$7,F251,IF(OR(A251=$B$12,C251+F251&lt;=ROUND($B$10,2)),C251+F251,ROUND($B$10,2)))</f>
        <v/>
      </c>
      <c r="E251" s="8">
        <f>D251-F251</f>
        <v/>
      </c>
      <c r="F251" s="8">
        <f>ROUND(C251*$B$8,2)</f>
        <v/>
      </c>
      <c r="G251" s="8">
        <f>ROUND(C251-E251,2)</f>
        <v/>
      </c>
    </row>
    <row r="252">
      <c r="A252" s="45">
        <f>A251+1</f>
        <v/>
      </c>
      <c r="B252" s="45">
        <f>ROUNDUP(A252/12,0)</f>
        <v/>
      </c>
      <c r="C252" s="8">
        <f>G251</f>
        <v/>
      </c>
      <c r="D252" s="8">
        <f>IF(A252&lt;=$B$7,F252,IF(OR(A252=$B$12,C252+F252&lt;=ROUND($B$10,2)),C252+F252,ROUND($B$10,2)))</f>
        <v/>
      </c>
      <c r="E252" s="8">
        <f>D252-F252</f>
        <v/>
      </c>
      <c r="F252" s="8">
        <f>ROUND(C252*$B$8,2)</f>
        <v/>
      </c>
      <c r="G252" s="8">
        <f>ROUND(C252-E252,2)</f>
        <v/>
      </c>
    </row>
    <row r="253">
      <c r="A253" s="45">
        <f>A252+1</f>
        <v/>
      </c>
      <c r="B253" s="45">
        <f>ROUNDUP(A253/12,0)</f>
        <v/>
      </c>
      <c r="C253" s="8">
        <f>G252</f>
        <v/>
      </c>
      <c r="D253" s="8">
        <f>IF(A253&lt;=$B$7,F253,IF(OR(A253=$B$12,C253+F253&lt;=ROUND($B$10,2)),C253+F253,ROUND($B$10,2)))</f>
        <v/>
      </c>
      <c r="E253" s="8">
        <f>D253-F253</f>
        <v/>
      </c>
      <c r="F253" s="8">
        <f>ROUND(C253*$B$8,2)</f>
        <v/>
      </c>
      <c r="G253" s="8">
        <f>ROUND(C253-E253,2)</f>
        <v/>
      </c>
    </row>
    <row r="254">
      <c r="A254" s="45">
        <f>A253+1</f>
        <v/>
      </c>
      <c r="B254" s="45">
        <f>ROUNDUP(A254/12,0)</f>
        <v/>
      </c>
      <c r="C254" s="8">
        <f>G253</f>
        <v/>
      </c>
      <c r="D254" s="8">
        <f>IF(A254&lt;=$B$7,F254,IF(OR(A254=$B$12,C254+F254&lt;=ROUND($B$10,2)),C254+F254,ROUND($B$10,2)))</f>
        <v/>
      </c>
      <c r="E254" s="8">
        <f>D254-F254</f>
        <v/>
      </c>
      <c r="F254" s="8">
        <f>ROUND(C254*$B$8,2)</f>
        <v/>
      </c>
      <c r="G254" s="8">
        <f>ROUND(C254-E254,2)</f>
        <v/>
      </c>
    </row>
    <row r="255">
      <c r="A255" s="45">
        <f>A254+1</f>
        <v/>
      </c>
      <c r="B255" s="45">
        <f>ROUNDUP(A255/12,0)</f>
        <v/>
      </c>
      <c r="C255" s="8">
        <f>G254</f>
        <v/>
      </c>
      <c r="D255" s="8">
        <f>IF(A255&lt;=$B$7,F255,IF(OR(A255=$B$12,C255+F255&lt;=ROUND($B$10,2)),C255+F255,ROUND($B$10,2)))</f>
        <v/>
      </c>
      <c r="E255" s="8">
        <f>D255-F255</f>
        <v/>
      </c>
      <c r="F255" s="8">
        <f>ROUND(C255*$B$8,2)</f>
        <v/>
      </c>
      <c r="G255" s="8">
        <f>ROUND(C255-E255,2)</f>
        <v/>
      </c>
    </row>
    <row r="256">
      <c r="A256" s="45">
        <f>A255+1</f>
        <v/>
      </c>
      <c r="B256" s="45">
        <f>ROUNDUP(A256/12,0)</f>
        <v/>
      </c>
      <c r="C256" s="8">
        <f>G255</f>
        <v/>
      </c>
      <c r="D256" s="8">
        <f>IF(A256&lt;=$B$7,F256,IF(OR(A256=$B$12,C256+F256&lt;=ROUND($B$10,2)),C256+F256,ROUND($B$10,2)))</f>
        <v/>
      </c>
      <c r="E256" s="8">
        <f>D256-F256</f>
        <v/>
      </c>
      <c r="F256" s="8">
        <f>ROUND(C256*$B$8,2)</f>
        <v/>
      </c>
      <c r="G256" s="8">
        <f>ROUND(C256-E256,2)</f>
        <v/>
      </c>
    </row>
    <row r="257">
      <c r="A257" s="45">
        <f>A256+1</f>
        <v/>
      </c>
      <c r="B257" s="45">
        <f>ROUNDUP(A257/12,0)</f>
        <v/>
      </c>
      <c r="C257" s="8">
        <f>G256</f>
        <v/>
      </c>
      <c r="D257" s="8">
        <f>IF(A257&lt;=$B$7,F257,IF(OR(A257=$B$12,C257+F257&lt;=ROUND($B$10,2)),C257+F257,ROUND($B$10,2)))</f>
        <v/>
      </c>
      <c r="E257" s="8">
        <f>D257-F257</f>
        <v/>
      </c>
      <c r="F257" s="8">
        <f>ROUND(C257*$B$8,2)</f>
        <v/>
      </c>
      <c r="G257" s="8">
        <f>ROUND(C257-E257,2)</f>
        <v/>
      </c>
    </row>
    <row r="258">
      <c r="A258" s="45">
        <f>A257+1</f>
        <v/>
      </c>
      <c r="B258" s="45">
        <f>ROUNDUP(A258/12,0)</f>
        <v/>
      </c>
      <c r="C258" s="8">
        <f>G257</f>
        <v/>
      </c>
      <c r="D258" s="8">
        <f>IF(A258&lt;=$B$7,F258,IF(OR(A258=$B$12,C258+F258&lt;=ROUND($B$10,2)),C258+F258,ROUND($B$10,2)))</f>
        <v/>
      </c>
      <c r="E258" s="8">
        <f>D258-F258</f>
        <v/>
      </c>
      <c r="F258" s="8">
        <f>ROUND(C258*$B$8,2)</f>
        <v/>
      </c>
      <c r="G258" s="8">
        <f>ROUND(C258-E258,2)</f>
        <v/>
      </c>
    </row>
    <row r="259">
      <c r="A259" s="45">
        <f>A258+1</f>
        <v/>
      </c>
      <c r="B259" s="45">
        <f>ROUNDUP(A259/12,0)</f>
        <v/>
      </c>
      <c r="C259" s="8">
        <f>G258</f>
        <v/>
      </c>
      <c r="D259" s="8">
        <f>IF(A259&lt;=$B$7,F259,IF(OR(A259=$B$12,C259+F259&lt;=ROUND($B$10,2)),C259+F259,ROUND($B$10,2)))</f>
        <v/>
      </c>
      <c r="E259" s="8">
        <f>D259-F259</f>
        <v/>
      </c>
      <c r="F259" s="8">
        <f>ROUND(C259*$B$8,2)</f>
        <v/>
      </c>
      <c r="G259" s="8">
        <f>ROUND(C259-E259,2)</f>
        <v/>
      </c>
    </row>
    <row r="260">
      <c r="A260" s="45">
        <f>A259+1</f>
        <v/>
      </c>
      <c r="B260" s="45">
        <f>ROUNDUP(A260/12,0)</f>
        <v/>
      </c>
      <c r="C260" s="8">
        <f>G259</f>
        <v/>
      </c>
      <c r="D260" s="8">
        <f>IF(A260&lt;=$B$7,F260,IF(OR(A260=$B$12,C260+F260&lt;=ROUND($B$10,2)),C260+F260,ROUND($B$10,2)))</f>
        <v/>
      </c>
      <c r="E260" s="8">
        <f>D260-F260</f>
        <v/>
      </c>
      <c r="F260" s="8">
        <f>ROUND(C260*$B$8,2)</f>
        <v/>
      </c>
      <c r="G260" s="8">
        <f>ROUND(C260-E260,2)</f>
        <v/>
      </c>
    </row>
    <row r="261">
      <c r="A261" s="45">
        <f>A260+1</f>
        <v/>
      </c>
      <c r="B261" s="45">
        <f>ROUNDUP(A261/12,0)</f>
        <v/>
      </c>
      <c r="C261" s="8">
        <f>G260</f>
        <v/>
      </c>
      <c r="D261" s="8">
        <f>IF(A261&lt;=$B$7,F261,IF(OR(A261=$B$12,C261+F261&lt;=ROUND($B$10,2)),C261+F261,ROUND($B$10,2)))</f>
        <v/>
      </c>
      <c r="E261" s="8">
        <f>D261-F261</f>
        <v/>
      </c>
      <c r="F261" s="8">
        <f>ROUND(C261*$B$8,2)</f>
        <v/>
      </c>
      <c r="G261" s="8">
        <f>ROUND(C261-E261,2)</f>
        <v/>
      </c>
    </row>
    <row r="262">
      <c r="A262" s="45">
        <f>A261+1</f>
        <v/>
      </c>
      <c r="B262" s="45">
        <f>ROUNDUP(A262/12,0)</f>
        <v/>
      </c>
      <c r="C262" s="8">
        <f>G261</f>
        <v/>
      </c>
      <c r="D262" s="8">
        <f>IF(A262&lt;=$B$7,F262,IF(OR(A262=$B$12,C262+F262&lt;=ROUND($B$10,2)),C262+F262,ROUND($B$10,2)))</f>
        <v/>
      </c>
      <c r="E262" s="8">
        <f>D262-F262</f>
        <v/>
      </c>
      <c r="F262" s="8">
        <f>ROUND(C262*$B$8,2)</f>
        <v/>
      </c>
      <c r="G262" s="8">
        <f>ROUND(C262-E262,2)</f>
        <v/>
      </c>
    </row>
    <row r="263">
      <c r="A263" s="45">
        <f>A262+1</f>
        <v/>
      </c>
      <c r="B263" s="45">
        <f>ROUNDUP(A263/12,0)</f>
        <v/>
      </c>
      <c r="C263" s="8">
        <f>G262</f>
        <v/>
      </c>
      <c r="D263" s="8">
        <f>IF(A263&lt;=$B$7,F263,IF(OR(A263=$B$12,C263+F263&lt;=ROUND($B$10,2)),C263+F263,ROUND($B$10,2)))</f>
        <v/>
      </c>
      <c r="E263" s="8">
        <f>D263-F263</f>
        <v/>
      </c>
      <c r="F263" s="8">
        <f>ROUND(C263*$B$8,2)</f>
        <v/>
      </c>
      <c r="G263" s="8">
        <f>ROUND(C263-E263,2)</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122"/>
  <sheetViews>
    <sheetView showGridLines="0" workbookViewId="0">
      <selection activeCell="A1" sqref="A1"/>
    </sheetView>
  </sheetViews>
  <sheetFormatPr baseColWidth="8" defaultRowHeight="15"/>
  <cols>
    <col width="54"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LIVE 5-YEAR MODEL - FORMULA-DRIVEN T8 CABIN TURNAROUND</t>
        </is>
      </c>
    </row>
    <row r="2">
      <c r="A2" s="2" t="inlineStr">
        <is>
          <t>Every value in columns B-F is a formula linked to T8 Inputs and the T8 Debt Schedule. The check block compares the live output with the Python TurnaroundEngine; the returns block prices the exit at 8.5%.</t>
        </is>
      </c>
    </row>
    <row r="4">
      <c r="A4" s="4" t="inlineStr">
        <is>
          <t>Line Item</t>
        </is>
      </c>
      <c r="B4" s="4" t="inlineStr">
        <is>
          <t>Year 1</t>
        </is>
      </c>
      <c r="C4" s="4" t="inlineStr">
        <is>
          <t>Year 2</t>
        </is>
      </c>
      <c r="D4" s="4" t="inlineStr">
        <is>
          <t>Year 3</t>
        </is>
      </c>
      <c r="E4" s="4" t="inlineStr">
        <is>
          <t>Year 4</t>
        </is>
      </c>
      <c r="F4" s="4" t="inlineStr">
        <is>
          <t>Year 5</t>
        </is>
      </c>
    </row>
    <row r="5">
      <c r="A5" s="6" t="inlineStr">
        <is>
          <t>Cabin occupancy</t>
        </is>
      </c>
      <c r="B5" s="23">
        <f>'T8 Inputs'!$B$7</f>
        <v/>
      </c>
      <c r="C5" s="23">
        <f>'T8 Inputs'!$B$8</f>
        <v/>
      </c>
      <c r="D5" s="23">
        <f>'T8 Inputs'!$B$9</f>
        <v/>
      </c>
      <c r="E5" s="23">
        <f>'T8 Inputs'!$B$10</f>
        <v/>
      </c>
      <c r="F5" s="23">
        <f>'T8 Inputs'!$B$11</f>
        <v/>
      </c>
    </row>
    <row r="6">
      <c r="A6" s="6" t="inlineStr">
        <is>
          <t>Lodge occupancy</t>
        </is>
      </c>
      <c r="B6" s="23">
        <f>'T8 Inputs'!$B$14*'T8 Inputs'!$B$12</f>
        <v/>
      </c>
      <c r="C6" s="23">
        <f>'T8 Inputs'!$B$15*'T8 Inputs'!$B$12</f>
        <v/>
      </c>
      <c r="D6" s="23">
        <f>'T8 Inputs'!$B$16*'T8 Inputs'!$B$12</f>
        <v/>
      </c>
      <c r="E6" s="23">
        <f>'T8 Inputs'!$B$17*'T8 Inputs'!$B$12</f>
        <v/>
      </c>
      <c r="F6" s="23">
        <f>'T8 Inputs'!$B$18*'T8 Inputs'!$B$12</f>
        <v/>
      </c>
    </row>
    <row r="7">
      <c r="A7" s="6" t="inlineStr">
        <is>
          <t>Cabin nights sold</t>
        </is>
      </c>
      <c r="B7" s="89">
        <f>B5*365*'T8 Inputs'!$B$5</f>
        <v/>
      </c>
      <c r="C7" s="89">
        <f>C5*365*'T8 Inputs'!$B$5</f>
        <v/>
      </c>
      <c r="D7" s="89">
        <f>D5*365*'T8 Inputs'!$B$5</f>
        <v/>
      </c>
      <c r="E7" s="89">
        <f>E5*365*'T8 Inputs'!$B$5</f>
        <v/>
      </c>
      <c r="F7" s="89">
        <f>F5*365*'T8 Inputs'!$B$5</f>
        <v/>
      </c>
    </row>
    <row r="8">
      <c r="A8" s="6" t="inlineStr">
        <is>
          <t>Lodge nights sold</t>
        </is>
      </c>
      <c r="B8" s="89">
        <f>B6*365</f>
        <v/>
      </c>
      <c r="C8" s="89">
        <f>C6*365</f>
        <v/>
      </c>
      <c r="D8" s="89">
        <f>D6*365</f>
        <v/>
      </c>
      <c r="E8" s="89">
        <f>E6*365</f>
        <v/>
      </c>
      <c r="F8" s="89">
        <f>F6*365</f>
        <v/>
      </c>
    </row>
    <row r="9">
      <c r="A9" s="6" t="inlineStr">
        <is>
          <t>Guest-nights</t>
        </is>
      </c>
      <c r="B9" s="89">
        <f>B7*'T8 Inputs'!$B$19+B8*'T8 Inputs'!$B$20</f>
        <v/>
      </c>
      <c r="C9" s="89">
        <f>C7*'T8 Inputs'!$B$19+C8*'T8 Inputs'!$B$20</f>
        <v/>
      </c>
      <c r="D9" s="89">
        <f>D7*'T8 Inputs'!$B$19+D8*'T8 Inputs'!$B$20</f>
        <v/>
      </c>
      <c r="E9" s="89">
        <f>E7*'T8 Inputs'!$B$19+E8*'T8 Inputs'!$B$20</f>
        <v/>
      </c>
      <c r="F9" s="89">
        <f>F7*'T8 Inputs'!$B$19+F8*'T8 Inputs'!$B$20</f>
        <v/>
      </c>
    </row>
    <row r="10">
      <c r="A10" s="6" t="inlineStr">
        <is>
          <t>Cabin revenue (EUR)</t>
        </is>
      </c>
      <c r="B10" s="25">
        <f>B7*'T8 Inputs'!$B$6</f>
        <v/>
      </c>
      <c r="C10" s="25">
        <f>C7*'T8 Inputs'!$B$6</f>
        <v/>
      </c>
      <c r="D10" s="25">
        <f>D7*'T8 Inputs'!$B$6</f>
        <v/>
      </c>
      <c r="E10" s="25">
        <f>E7*'T8 Inputs'!$B$6</f>
        <v/>
      </c>
      <c r="F10" s="25">
        <f>F7*'T8 Inputs'!$B$6</f>
        <v/>
      </c>
    </row>
    <row r="11">
      <c r="A11" s="6" t="inlineStr">
        <is>
          <t>Lodge revenue (EUR)</t>
        </is>
      </c>
      <c r="B11" s="25">
        <f>B8*'T8 Inputs'!$B$13</f>
        <v/>
      </c>
      <c r="C11" s="25">
        <f>C8*'T8 Inputs'!$B$13</f>
        <v/>
      </c>
      <c r="D11" s="25">
        <f>D8*'T8 Inputs'!$B$13</f>
        <v/>
      </c>
      <c r="E11" s="25">
        <f>E8*'T8 Inputs'!$B$13</f>
        <v/>
      </c>
      <c r="F11" s="25">
        <f>F8*'T8 Inputs'!$B$13</f>
        <v/>
      </c>
    </row>
    <row r="12">
      <c r="A12" s="6" t="inlineStr">
        <is>
          <t>Experiences revenue (EUR)</t>
        </is>
      </c>
      <c r="B12" s="25">
        <f>'T8 Inputs'!$B$34</f>
        <v/>
      </c>
      <c r="C12" s="25">
        <f>'T8 Inputs'!$B$35</f>
        <v/>
      </c>
      <c r="D12" s="25">
        <f>'T8 Inputs'!$B$36</f>
        <v/>
      </c>
      <c r="E12" s="25">
        <f>'T8 Inputs'!$B$37</f>
        <v/>
      </c>
      <c r="F12" s="25">
        <f>'T8 Inputs'!$B$38</f>
        <v/>
      </c>
    </row>
    <row r="13">
      <c r="A13" s="5" t="inlineStr">
        <is>
          <t>Total revenue (EUR)</t>
        </is>
      </c>
      <c r="B13" s="25">
        <f>SUM(B10:B12)</f>
        <v/>
      </c>
      <c r="C13" s="25">
        <f>SUM(C10:C12)</f>
        <v/>
      </c>
      <c r="D13" s="25">
        <f>SUM(D10:D12)</f>
        <v/>
      </c>
      <c r="E13" s="25">
        <f>SUM(E10:E12)</f>
        <v/>
      </c>
      <c r="F13" s="25">
        <f>SUM(F10:F12)</f>
        <v/>
      </c>
    </row>
    <row r="14">
      <c r="A14" s="6" t="inlineStr">
        <is>
          <t>OTA commission (EUR)</t>
        </is>
      </c>
      <c r="B14" s="25">
        <f>(B10+B11)*'T8 Inputs'!$B$28*'T8 Inputs'!$B$29</f>
        <v/>
      </c>
      <c r="C14" s="25">
        <f>(C10+C11)*'T8 Inputs'!$B$28*'T8 Inputs'!$B$29</f>
        <v/>
      </c>
      <c r="D14" s="25">
        <f>(D10+D11)*'T8 Inputs'!$B$28*'T8 Inputs'!$B$29</f>
        <v/>
      </c>
      <c r="E14" s="25">
        <f>(E10+E11)*'T8 Inputs'!$B$28*'T8 Inputs'!$B$29</f>
        <v/>
      </c>
      <c r="F14" s="25">
        <f>(F10+F11)*'T8 Inputs'!$B$28*'T8 Inputs'!$B$29</f>
        <v/>
      </c>
    </row>
    <row r="15">
      <c r="A15" s="6" t="inlineStr">
        <is>
          <t>Housekeeping (EUR)</t>
        </is>
      </c>
      <c r="B15" s="25">
        <f>B7*'T8 Inputs'!$B$21+B8*'T8 Inputs'!$B$22</f>
        <v/>
      </c>
      <c r="C15" s="25">
        <f>C7*'T8 Inputs'!$B$21+C8*'T8 Inputs'!$B$22</f>
        <v/>
      </c>
      <c r="D15" s="25">
        <f>D7*'T8 Inputs'!$B$21+D8*'T8 Inputs'!$B$22</f>
        <v/>
      </c>
      <c r="E15" s="25">
        <f>E7*'T8 Inputs'!$B$21+E8*'T8 Inputs'!$B$22</f>
        <v/>
      </c>
      <c r="F15" s="25">
        <f>F7*'T8 Inputs'!$B$21+F8*'T8 Inputs'!$B$22</f>
        <v/>
      </c>
    </row>
    <row r="16">
      <c r="A16" s="6" t="inlineStr">
        <is>
          <t>Breakfast baskets (EUR)</t>
        </is>
      </c>
      <c r="B16" s="25">
        <f>B9*'T8 Inputs'!$B$27</f>
        <v/>
      </c>
      <c r="C16" s="25">
        <f>C9*'T8 Inputs'!$B$27</f>
        <v/>
      </c>
      <c r="D16" s="25">
        <f>D9*'T8 Inputs'!$B$27</f>
        <v/>
      </c>
      <c r="E16" s="25">
        <f>E9*'T8 Inputs'!$B$27</f>
        <v/>
      </c>
      <c r="F16" s="25">
        <f>F9*'T8 Inputs'!$B$27</f>
        <v/>
      </c>
    </row>
    <row r="17">
      <c r="A17" s="6" t="inlineStr">
        <is>
          <t>Energy (EUR)</t>
        </is>
      </c>
      <c r="B17" s="25">
        <f>B7*'T8 Inputs'!$B$23+B8*'T8 Inputs'!$B$24</f>
        <v/>
      </c>
      <c r="C17" s="25">
        <f>C7*'T8 Inputs'!$B$23+C8*'T8 Inputs'!$B$24</f>
        <v/>
      </c>
      <c r="D17" s="25">
        <f>D7*'T8 Inputs'!$B$23+D8*'T8 Inputs'!$B$24</f>
        <v/>
      </c>
      <c r="E17" s="25">
        <f>E7*'T8 Inputs'!$B$23+E8*'T8 Inputs'!$B$24</f>
        <v/>
      </c>
      <c r="F17" s="25">
        <f>F7*'T8 Inputs'!$B$23+F8*'T8 Inputs'!$B$24</f>
        <v/>
      </c>
    </row>
    <row r="18">
      <c r="A18" s="6" t="inlineStr">
        <is>
          <t>Consumables (EUR)</t>
        </is>
      </c>
      <c r="B18" s="25">
        <f>B7*'T8 Inputs'!$B$25+B8*'T8 Inputs'!$B$26</f>
        <v/>
      </c>
      <c r="C18" s="25">
        <f>C7*'T8 Inputs'!$B$25+C8*'T8 Inputs'!$B$26</f>
        <v/>
      </c>
      <c r="D18" s="25">
        <f>D7*'T8 Inputs'!$B$25+D8*'T8 Inputs'!$B$26</f>
        <v/>
      </c>
      <c r="E18" s="25">
        <f>E7*'T8 Inputs'!$B$25+E8*'T8 Inputs'!$B$26</f>
        <v/>
      </c>
      <c r="F18" s="25">
        <f>F7*'T8 Inputs'!$B$25+F8*'T8 Inputs'!$B$26</f>
        <v/>
      </c>
    </row>
    <row r="19">
      <c r="A19" s="6" t="inlineStr">
        <is>
          <t>Payment fees (EUR)</t>
        </is>
      </c>
      <c r="B19" s="25">
        <f>B13*'T8 Inputs'!$B$30</f>
        <v/>
      </c>
      <c r="C19" s="25">
        <f>C13*'T8 Inputs'!$B$30</f>
        <v/>
      </c>
      <c r="D19" s="25">
        <f>D13*'T8 Inputs'!$B$30</f>
        <v/>
      </c>
      <c r="E19" s="25">
        <f>E13*'T8 Inputs'!$B$30</f>
        <v/>
      </c>
      <c r="F19" s="25">
        <f>F13*'T8 Inputs'!$B$30</f>
        <v/>
      </c>
    </row>
    <row r="20">
      <c r="A20" s="6" t="inlineStr">
        <is>
          <t>Experience cost of sales (EUR)</t>
        </is>
      </c>
      <c r="B20" s="25">
        <f>B12*(1-'T8 Inputs'!$B$39)</f>
        <v/>
      </c>
      <c r="C20" s="25">
        <f>C12*(1-'T8 Inputs'!$B$39)</f>
        <v/>
      </c>
      <c r="D20" s="25">
        <f>D12*(1-'T8 Inputs'!$B$39)</f>
        <v/>
      </c>
      <c r="E20" s="25">
        <f>E12*(1-'T8 Inputs'!$B$39)</f>
        <v/>
      </c>
      <c r="F20" s="25">
        <f>F12*(1-'T8 Inputs'!$B$39)</f>
        <v/>
      </c>
    </row>
    <row r="21">
      <c r="A21" s="6" t="inlineStr">
        <is>
          <t>Total variable costs (EUR)</t>
        </is>
      </c>
      <c r="B21" s="25">
        <f>SUM(B14:B20)</f>
        <v/>
      </c>
      <c r="C21" s="25">
        <f>SUM(C14:C20)</f>
        <v/>
      </c>
      <c r="D21" s="25">
        <f>SUM(D14:D20)</f>
        <v/>
      </c>
      <c r="E21" s="25">
        <f>SUM(E14:E20)</f>
        <v/>
      </c>
      <c r="F21" s="25">
        <f>SUM(F14:F20)</f>
        <v/>
      </c>
    </row>
    <row r="22">
      <c r="A22" s="5" t="inlineStr">
        <is>
          <t>Gross margin (EUR)</t>
        </is>
      </c>
      <c r="B22" s="25">
        <f>B13-B21</f>
        <v/>
      </c>
      <c r="C22" s="25">
        <f>C13-C21</f>
        <v/>
      </c>
      <c r="D22" s="25">
        <f>D13-D21</f>
        <v/>
      </c>
      <c r="E22" s="25">
        <f>E13-E21</f>
        <v/>
      </c>
      <c r="F22" s="25">
        <f>F13-F21</f>
        <v/>
      </c>
    </row>
    <row r="23">
      <c r="A23" s="6" t="inlineStr">
        <is>
          <t>Payroll, 2.0 FTE loaded (EUR)</t>
        </is>
      </c>
      <c r="B23" s="25">
        <f>'T8 Inputs'!$B$31</f>
        <v/>
      </c>
      <c r="C23" s="25">
        <f>'T8 Inputs'!$B$31</f>
        <v/>
      </c>
      <c r="D23" s="25">
        <f>'T8 Inputs'!$B$31</f>
        <v/>
      </c>
      <c r="E23" s="25">
        <f>'T8 Inputs'!$B$31</f>
        <v/>
      </c>
      <c r="F23" s="25">
        <f>'T8 Inputs'!$B$31</f>
        <v/>
      </c>
    </row>
    <row r="24">
      <c r="A24" s="6" t="inlineStr">
        <is>
          <t>Fixed operating expenses (EUR)</t>
        </is>
      </c>
      <c r="B24" s="25">
        <f>'T8 Inputs'!$B$32</f>
        <v/>
      </c>
      <c r="C24" s="25">
        <f>'T8 Inputs'!$B$32</f>
        <v/>
      </c>
      <c r="D24" s="25">
        <f>'T8 Inputs'!$B$32</f>
        <v/>
      </c>
      <c r="E24" s="25">
        <f>'T8 Inputs'!$B$32</f>
        <v/>
      </c>
      <c r="F24" s="25">
        <f>'T8 Inputs'!$B$32</f>
        <v/>
      </c>
    </row>
    <row r="25">
      <c r="A25" s="5" t="inlineStr">
        <is>
          <t>EBITDA (EUR)</t>
        </is>
      </c>
      <c r="B25" s="25">
        <f>B22-B23-B24</f>
        <v/>
      </c>
      <c r="C25" s="25">
        <f>C22-C23-C24</f>
        <v/>
      </c>
      <c r="D25" s="25">
        <f>D22-D23-D24</f>
        <v/>
      </c>
      <c r="E25" s="25">
        <f>E22-E23-E24</f>
        <v/>
      </c>
      <c r="F25" s="25">
        <f>F22-F23-F24</f>
        <v/>
      </c>
    </row>
    <row r="26">
      <c r="A26" s="6" t="inlineStr">
        <is>
          <t>FF&amp;E reserve (EUR)</t>
        </is>
      </c>
      <c r="B26" s="25">
        <f>B13*'T8 Inputs'!$B$33</f>
        <v/>
      </c>
      <c r="C26" s="25">
        <f>C13*'T8 Inputs'!$B$33</f>
        <v/>
      </c>
      <c r="D26" s="25">
        <f>D13*'T8 Inputs'!$B$33</f>
        <v/>
      </c>
      <c r="E26" s="25">
        <f>E13*'T8 Inputs'!$B$33</f>
        <v/>
      </c>
      <c r="F26" s="25">
        <f>F13*'T8 Inputs'!$B$33</f>
        <v/>
      </c>
    </row>
    <row r="27">
      <c r="A27" s="6" t="inlineStr">
        <is>
          <t>PP&amp;E depreciation (EUR)</t>
        </is>
      </c>
      <c r="B27" s="25">
        <f>'T8 Inputs'!$B$44</f>
        <v/>
      </c>
      <c r="C27" s="25">
        <f>'T8 Inputs'!$B$44</f>
        <v/>
      </c>
      <c r="D27" s="25">
        <f>'T8 Inputs'!$B$44</f>
        <v/>
      </c>
      <c r="E27" s="25">
        <f>'T8 Inputs'!$B$44</f>
        <v/>
      </c>
      <c r="F27" s="25">
        <f>'T8 Inputs'!$B$44</f>
        <v/>
      </c>
    </row>
    <row r="28">
      <c r="A28" s="6" t="inlineStr">
        <is>
          <t>Pre-opening + fee amortisation (EUR)</t>
        </is>
      </c>
      <c r="B28" s="25">
        <f>('T8 Inputs'!$B$45+'T8 Inputs'!$B$47)/'T8 Inputs'!$B$46</f>
        <v/>
      </c>
      <c r="C28" s="25">
        <f>('T8 Inputs'!$B$45+'T8 Inputs'!$B$47)/'T8 Inputs'!$B$46</f>
        <v/>
      </c>
      <c r="D28" s="25">
        <f>('T8 Inputs'!$B$45+'T8 Inputs'!$B$47)/'T8 Inputs'!$B$46</f>
        <v/>
      </c>
      <c r="E28" s="25">
        <f>('T8 Inputs'!$B$45+'T8 Inputs'!$B$47)/'T8 Inputs'!$B$46</f>
        <v/>
      </c>
      <c r="F28" s="25">
        <f>('T8 Inputs'!$B$45+'T8 Inputs'!$B$47)/'T8 Inputs'!$B$46</f>
        <v/>
      </c>
    </row>
    <row r="29">
      <c r="A29" s="6" t="inlineStr">
        <is>
          <t>Total depreciation (EUR)</t>
        </is>
      </c>
      <c r="B29" s="25">
        <f>B27+B28</f>
        <v/>
      </c>
      <c r="C29" s="25">
        <f>C27+C28</f>
        <v/>
      </c>
      <c r="D29" s="25">
        <f>D27+D28</f>
        <v/>
      </c>
      <c r="E29" s="25">
        <f>E27+E28</f>
        <v/>
      </c>
      <c r="F29" s="25">
        <f>F27+F28</f>
        <v/>
      </c>
    </row>
    <row r="30">
      <c r="A30" s="5" t="inlineStr">
        <is>
          <t>EBIT (EUR)</t>
        </is>
      </c>
      <c r="B30" s="25">
        <f>B25-B29</f>
        <v/>
      </c>
      <c r="C30" s="25">
        <f>C25-C29</f>
        <v/>
      </c>
      <c r="D30" s="25">
        <f>D25-D29</f>
        <v/>
      </c>
      <c r="E30" s="25">
        <f>E25-E29</f>
        <v/>
      </c>
      <c r="F30" s="25">
        <f>F25-F29</f>
        <v/>
      </c>
    </row>
    <row r="31">
      <c r="A31" s="6" t="inlineStr">
        <is>
          <t>Beginning senior debt (EUR)</t>
        </is>
      </c>
      <c r="B31" s="25">
        <f>'T8 Debt Schedule'!B16</f>
        <v/>
      </c>
      <c r="C31" s="25">
        <f>'T8 Debt Schedule'!B17</f>
        <v/>
      </c>
      <c r="D31" s="25">
        <f>'T8 Debt Schedule'!B18</f>
        <v/>
      </c>
      <c r="E31" s="25">
        <f>'T8 Debt Schedule'!B19</f>
        <v/>
      </c>
      <c r="F31" s="25">
        <f>'T8 Debt Schedule'!B20</f>
        <v/>
      </c>
    </row>
    <row r="32">
      <c r="A32" s="6" t="inlineStr">
        <is>
          <t>Senior interest (EUR)</t>
        </is>
      </c>
      <c r="B32" s="25">
        <f>'T8 Debt Schedule'!E16</f>
        <v/>
      </c>
      <c r="C32" s="25">
        <f>'T8 Debt Schedule'!E17</f>
        <v/>
      </c>
      <c r="D32" s="25">
        <f>'T8 Debt Schedule'!E18</f>
        <v/>
      </c>
      <c r="E32" s="25">
        <f>'T8 Debt Schedule'!E19</f>
        <v/>
      </c>
      <c r="F32" s="25">
        <f>'T8 Debt Schedule'!E20</f>
        <v/>
      </c>
    </row>
    <row r="33">
      <c r="A33" s="6" t="inlineStr">
        <is>
          <t>Principal repayment (EUR)</t>
        </is>
      </c>
      <c r="B33" s="25">
        <f>'T8 Debt Schedule'!D16</f>
        <v/>
      </c>
      <c r="C33" s="25">
        <f>'T8 Debt Schedule'!D17</f>
        <v/>
      </c>
      <c r="D33" s="25">
        <f>'T8 Debt Schedule'!D18</f>
        <v/>
      </c>
      <c r="E33" s="25">
        <f>'T8 Debt Schedule'!D19</f>
        <v/>
      </c>
      <c r="F33" s="25">
        <f>'T8 Debt Schedule'!D20</f>
        <v/>
      </c>
    </row>
    <row r="34">
      <c r="A34" s="6" t="inlineStr">
        <is>
          <t>Ending senior debt (EUR)</t>
        </is>
      </c>
      <c r="B34" s="25">
        <f>'T8 Debt Schedule'!F16</f>
        <v/>
      </c>
      <c r="C34" s="25">
        <f>'T8 Debt Schedule'!F17</f>
        <v/>
      </c>
      <c r="D34" s="25">
        <f>'T8 Debt Schedule'!F18</f>
        <v/>
      </c>
      <c r="E34" s="25">
        <f>'T8 Debt Schedule'!F19</f>
        <v/>
      </c>
      <c r="F34" s="25">
        <f>'T8 Debt Schedule'!F20</f>
        <v/>
      </c>
    </row>
    <row r="35">
      <c r="A35" s="6" t="inlineStr">
        <is>
          <t>VAT bridge interest (EUR)</t>
        </is>
      </c>
      <c r="B35" s="25">
        <f>'T8 Inputs'!$B$53*'T8 Inputs'!$B$54</f>
        <v/>
      </c>
      <c r="C35" s="25">
        <f>'T8 Inputs'!$B$53*'T8 Inputs'!$B$54*0.5</f>
        <v/>
      </c>
      <c r="D35" s="25">
        <f>0</f>
        <v/>
      </c>
      <c r="E35" s="25">
        <f>0</f>
        <v/>
      </c>
      <c r="F35" s="25">
        <f>0</f>
        <v/>
      </c>
    </row>
    <row r="36">
      <c r="A36" s="6" t="inlineStr">
        <is>
          <t>Total interest expense (EUR)</t>
        </is>
      </c>
      <c r="B36" s="25">
        <f>B32+B35</f>
        <v/>
      </c>
      <c r="C36" s="25">
        <f>C32+C35</f>
        <v/>
      </c>
      <c r="D36" s="25">
        <f>D32+D35</f>
        <v/>
      </c>
      <c r="E36" s="25">
        <f>E32+E35</f>
        <v/>
      </c>
      <c r="F36" s="25">
        <f>F32+F35</f>
        <v/>
      </c>
    </row>
    <row r="37">
      <c r="A37" s="6" t="inlineStr">
        <is>
          <t>EBT (EUR)</t>
        </is>
      </c>
      <c r="B37" s="25">
        <f>B30-B36</f>
        <v/>
      </c>
      <c r="C37" s="25">
        <f>C30-C36</f>
        <v/>
      </c>
      <c r="D37" s="25">
        <f>D30-D36</f>
        <v/>
      </c>
      <c r="E37" s="25">
        <f>E30-E36</f>
        <v/>
      </c>
      <c r="F37" s="25">
        <f>F30-F36</f>
        <v/>
      </c>
    </row>
    <row r="38">
      <c r="A38" s="6" t="inlineStr">
        <is>
          <t>BIN carried forward, opening (EUR)</t>
        </is>
      </c>
      <c r="B38" s="25">
        <f>0</f>
        <v/>
      </c>
      <c r="C38" s="25">
        <f>B41</f>
        <v/>
      </c>
      <c r="D38" s="25">
        <f>C41</f>
        <v/>
      </c>
      <c r="E38" s="25">
        <f>D41</f>
        <v/>
      </c>
      <c r="F38" s="25">
        <f>E41</f>
        <v/>
      </c>
    </row>
    <row r="39">
      <c r="A39" s="6" t="inlineStr">
        <is>
          <t>Taxable base (EUR)</t>
        </is>
      </c>
      <c r="B39" s="25">
        <f>MAX(0,B37-B38)</f>
        <v/>
      </c>
      <c r="C39" s="25">
        <f>MAX(0,C37-C38)</f>
        <v/>
      </c>
      <c r="D39" s="25">
        <f>MAX(0,D37-D38)</f>
        <v/>
      </c>
      <c r="E39" s="25">
        <f>MAX(0,E37-E38)</f>
        <v/>
      </c>
      <c r="F39" s="25">
        <f>MAX(0,F37-F38)</f>
        <v/>
      </c>
    </row>
    <row r="40">
      <c r="A40" s="6" t="inlineStr">
        <is>
          <t>Corporate tax (EUR)</t>
        </is>
      </c>
      <c r="B40" s="25">
        <f>B39*'T8 Inputs'!$B$40</f>
        <v/>
      </c>
      <c r="C40" s="25">
        <f>C39*'T8 Inputs'!$B$40</f>
        <v/>
      </c>
      <c r="D40" s="25">
        <f>D39*'T8 Inputs'!$B$40</f>
        <v/>
      </c>
      <c r="E40" s="25">
        <f>E39*'T8 Inputs'!$B$40</f>
        <v/>
      </c>
      <c r="F40" s="25">
        <f>F39*'T8 Inputs'!$B$40</f>
        <v/>
      </c>
    </row>
    <row r="41">
      <c r="A41" s="6" t="inlineStr">
        <is>
          <t>BIN carried forward, closing (EUR)</t>
        </is>
      </c>
      <c r="B41" s="25">
        <f>B38+IF(B37&lt;0,-B37,0)-IF(B37&gt;0,MIN(B38,B37),0)</f>
        <v/>
      </c>
      <c r="C41" s="25">
        <f>C38+IF(C37&lt;0,-C37,0)-IF(C37&gt;0,MIN(C38,C37),0)</f>
        <v/>
      </c>
      <c r="D41" s="25">
        <f>D38+IF(D37&lt;0,-D37,0)-IF(D37&gt;0,MIN(D38,D37),0)</f>
        <v/>
      </c>
      <c r="E41" s="25">
        <f>E38+IF(E37&lt;0,-E37,0)-IF(E37&gt;0,MIN(E38,E37),0)</f>
        <v/>
      </c>
      <c r="F41" s="25">
        <f>F38+IF(F37&lt;0,-F37,0)-IF(F37&gt;0,MIN(F38,F37),0)</f>
        <v/>
      </c>
    </row>
    <row r="42">
      <c r="A42" s="5" t="inlineStr">
        <is>
          <t>Net income (EUR)</t>
        </is>
      </c>
      <c r="B42" s="25">
        <f>B37-B40</f>
        <v/>
      </c>
      <c r="C42" s="25">
        <f>C37-C40</f>
        <v/>
      </c>
      <c r="D42" s="25">
        <f>D37-D40</f>
        <v/>
      </c>
      <c r="E42" s="25">
        <f>E37-E40</f>
        <v/>
      </c>
      <c r="F42" s="25">
        <f>F37-F40</f>
        <v/>
      </c>
    </row>
    <row r="43">
      <c r="A43" s="6" t="inlineStr">
        <is>
          <t>Cash flow from operations (EUR)</t>
        </is>
      </c>
      <c r="B43" s="25">
        <f>B42+B29</f>
        <v/>
      </c>
      <c r="C43" s="25">
        <f>C42+C29</f>
        <v/>
      </c>
      <c r="D43" s="25">
        <f>D42+D29</f>
        <v/>
      </c>
      <c r="E43" s="25">
        <f>E42+E29</f>
        <v/>
      </c>
      <c r="F43" s="25">
        <f>F42+F29</f>
        <v/>
      </c>
    </row>
    <row r="44">
      <c r="A44" s="6" t="inlineStr">
        <is>
          <t>Cash flow from investing (EUR)</t>
        </is>
      </c>
      <c r="B44" s="25">
        <f>-('T8 Inputs'!$B$41+'T8 Inputs'!$B$52+'T8 Inputs'!$B$53+'T8 Inputs'!$B$45+'T8 Inputs'!$B$47+'T8 Inputs'!$B$56+'T8 Inputs'!$B$57+B26)</f>
        <v/>
      </c>
      <c r="C44" s="25">
        <f>'T8 Inputs'!$B$53-C26</f>
        <v/>
      </c>
      <c r="D44" s="25">
        <f>-D26</f>
        <v/>
      </c>
      <c r="E44" s="25">
        <f>-E26</f>
        <v/>
      </c>
      <c r="F44" s="25">
        <f>-F26</f>
        <v/>
      </c>
    </row>
    <row r="45">
      <c r="A45" s="6" t="inlineStr">
        <is>
          <t>Cash flow from financing (EUR)</t>
        </is>
      </c>
      <c r="B45" s="25">
        <f>'T8 Inputs'!$B$48+'T8 Inputs'!$B$58+'T8 Inputs'!$B$53-B33</f>
        <v/>
      </c>
      <c r="C45" s="25">
        <f>-'T8 Inputs'!$B$53-C33</f>
        <v/>
      </c>
      <c r="D45" s="25">
        <f>-D33</f>
        <v/>
      </c>
      <c r="E45" s="25">
        <f>-E33</f>
        <v/>
      </c>
      <c r="F45" s="25">
        <f>-F33</f>
        <v/>
      </c>
    </row>
    <row r="46">
      <c r="A46" s="6" t="inlineStr">
        <is>
          <t>Net cash flow (EUR)</t>
        </is>
      </c>
      <c r="B46" s="25">
        <f>B43+B44+B45</f>
        <v/>
      </c>
      <c r="C46" s="25">
        <f>C43+C44+C45</f>
        <v/>
      </c>
      <c r="D46" s="25">
        <f>D43+D44+D45</f>
        <v/>
      </c>
      <c r="E46" s="25">
        <f>E43+E44+E45</f>
        <v/>
      </c>
      <c r="F46" s="25">
        <f>F43+F44+F45</f>
        <v/>
      </c>
    </row>
    <row r="47">
      <c r="A47" s="5" t="inlineStr">
        <is>
          <t>Ending cash (EUR)</t>
        </is>
      </c>
      <c r="B47" s="25">
        <f>'T8 Inputs'!$B$56+B46</f>
        <v/>
      </c>
      <c r="C47" s="25">
        <f>B47+C46</f>
        <v/>
      </c>
      <c r="D47" s="25">
        <f>C47+D46</f>
        <v/>
      </c>
      <c r="E47" s="25">
        <f>D47+E46</f>
        <v/>
      </c>
      <c r="F47" s="25">
        <f>E47+F46</f>
        <v/>
      </c>
    </row>
    <row r="48">
      <c r="A48" s="6" t="inlineStr">
        <is>
          <t>CFADS (EUR)</t>
        </is>
      </c>
      <c r="B48" s="25">
        <f>B25-B26-B40</f>
        <v/>
      </c>
      <c r="C48" s="25">
        <f>C25-C26-C40</f>
        <v/>
      </c>
      <c r="D48" s="25">
        <f>D25-D26-D40</f>
        <v/>
      </c>
      <c r="E48" s="25">
        <f>E25-E26-E40</f>
        <v/>
      </c>
      <c r="F48" s="25">
        <f>F25-F26-F40</f>
        <v/>
      </c>
    </row>
    <row r="49">
      <c r="A49" s="6" t="inlineStr">
        <is>
          <t>Debt service (EUR)</t>
        </is>
      </c>
      <c r="B49" s="25">
        <f>B32+B33</f>
        <v/>
      </c>
      <c r="C49" s="25">
        <f>C32+C33</f>
        <v/>
      </c>
      <c r="D49" s="25">
        <f>D32+D33</f>
        <v/>
      </c>
      <c r="E49" s="25">
        <f>E32+E33</f>
        <v/>
      </c>
      <c r="F49" s="25">
        <f>F32+F33</f>
        <v/>
      </c>
    </row>
    <row r="50">
      <c r="A50" s="5" t="inlineStr">
        <is>
          <t>DSCR (x)</t>
        </is>
      </c>
      <c r="B50" s="26">
        <f>B48/B49</f>
        <v/>
      </c>
      <c r="C50" s="26">
        <f>C48/C49</f>
        <v/>
      </c>
      <c r="D50" s="26">
        <f>D48/D49</f>
        <v/>
      </c>
      <c r="E50" s="26">
        <f>E48/E49</f>
        <v/>
      </c>
      <c r="F50" s="26">
        <f>F48/F49</f>
        <v/>
      </c>
    </row>
    <row r="51">
      <c r="A51" s="6" t="inlineStr">
        <is>
          <t>Gross PP&amp;E (EUR)</t>
        </is>
      </c>
      <c r="B51" s="25">
        <f>'T8 Inputs'!$B$43+'T8 Inputs'!$B$52</f>
        <v/>
      </c>
      <c r="C51" s="25">
        <f>'T8 Inputs'!$B$43+'T8 Inputs'!$B$52</f>
        <v/>
      </c>
      <c r="D51" s="25">
        <f>'T8 Inputs'!$B$43+'T8 Inputs'!$B$52</f>
        <v/>
      </c>
      <c r="E51" s="25">
        <f>'T8 Inputs'!$B$43+'T8 Inputs'!$B$52</f>
        <v/>
      </c>
      <c r="F51" s="25">
        <f>'T8 Inputs'!$B$43+'T8 Inputs'!$B$52</f>
        <v/>
      </c>
    </row>
    <row r="52">
      <c r="A52" s="6" t="inlineStr">
        <is>
          <t>Accumulated depreciation (EUR)</t>
        </is>
      </c>
      <c r="B52" s="25">
        <f>B27</f>
        <v/>
      </c>
      <c r="C52" s="25">
        <f>B52+C27</f>
        <v/>
      </c>
      <c r="D52" s="25">
        <f>C52+D27</f>
        <v/>
      </c>
      <c r="E52" s="25">
        <f>D52+E27</f>
        <v/>
      </c>
      <c r="F52" s="25">
        <f>E52+F27</f>
        <v/>
      </c>
    </row>
    <row r="53">
      <c r="A53" s="6" t="inlineStr">
        <is>
          <t>Accumulated amortisation (EUR)</t>
        </is>
      </c>
      <c r="B53" s="25">
        <f>B28</f>
        <v/>
      </c>
      <c r="C53" s="25">
        <f>B53+C28</f>
        <v/>
      </c>
      <c r="D53" s="25">
        <f>C53+D28</f>
        <v/>
      </c>
      <c r="E53" s="25">
        <f>D53+E28</f>
        <v/>
      </c>
      <c r="F53" s="25">
        <f>E53+F28</f>
        <v/>
      </c>
    </row>
    <row r="54">
      <c r="A54" s="6" t="inlineStr">
        <is>
          <t>Retained earnings (EUR)</t>
        </is>
      </c>
      <c r="B54" s="25">
        <f>B42</f>
        <v/>
      </c>
      <c r="C54" s="25">
        <f>B54+C42</f>
        <v/>
      </c>
      <c r="D54" s="25">
        <f>C54+D42</f>
        <v/>
      </c>
      <c r="E54" s="25">
        <f>D54+E42</f>
        <v/>
      </c>
      <c r="F54" s="25">
        <f>E54+F42</f>
        <v/>
      </c>
    </row>
    <row r="55">
      <c r="A55" s="6" t="inlineStr">
        <is>
          <t>Capital subsidies (EUR)</t>
        </is>
      </c>
      <c r="B55" s="25">
        <f>0</f>
        <v/>
      </c>
      <c r="C55" s="25">
        <f>B55</f>
        <v/>
      </c>
      <c r="D55" s="25">
        <f>C55</f>
        <v/>
      </c>
      <c r="E55" s="25">
        <f>D55</f>
        <v/>
      </c>
      <c r="F55" s="25">
        <f>E55</f>
        <v/>
      </c>
    </row>
    <row r="56">
      <c r="A56" s="6" t="inlineStr">
        <is>
          <t>Restricted cash / DSRA + FF&amp;E (EUR)</t>
        </is>
      </c>
      <c r="B56" s="25">
        <f>'T8 Inputs'!$B$57+B26</f>
        <v/>
      </c>
      <c r="C56" s="25">
        <f>B56+C26</f>
        <v/>
      </c>
      <c r="D56" s="25">
        <f>C56+D26</f>
        <v/>
      </c>
      <c r="E56" s="25">
        <f>D56+E26</f>
        <v/>
      </c>
      <c r="F56" s="25">
        <f>E56+F26</f>
        <v/>
      </c>
    </row>
    <row r="57">
      <c r="A57" s="6" t="inlineStr">
        <is>
          <t>Net PP&amp;E (EUR)</t>
        </is>
      </c>
      <c r="B57" s="25">
        <f>B51-B52</f>
        <v/>
      </c>
      <c r="C57" s="25">
        <f>C51-C52</f>
        <v/>
      </c>
      <c r="D57" s="25">
        <f>D51-D52</f>
        <v/>
      </c>
      <c r="E57" s="25">
        <f>E51-E52</f>
        <v/>
      </c>
      <c r="F57" s="25">
        <f>F51-F52</f>
        <v/>
      </c>
    </row>
    <row r="58">
      <c r="A58" s="6" t="inlineStr">
        <is>
          <t>Net intangibles (EUR)</t>
        </is>
      </c>
      <c r="B58" s="25">
        <f>('T8 Inputs'!$B$45+'T8 Inputs'!$B$47)-B53</f>
        <v/>
      </c>
      <c r="C58" s="25">
        <f>('T8 Inputs'!$B$45+'T8 Inputs'!$B$47)-C53</f>
        <v/>
      </c>
      <c r="D58" s="25">
        <f>('T8 Inputs'!$B$45+'T8 Inputs'!$B$47)-D53</f>
        <v/>
      </c>
      <c r="E58" s="25">
        <f>('T8 Inputs'!$B$45+'T8 Inputs'!$B$47)-E53</f>
        <v/>
      </c>
      <c r="F58" s="25">
        <f>('T8 Inputs'!$B$45+'T8 Inputs'!$B$47)-F53</f>
        <v/>
      </c>
    </row>
    <row r="59">
      <c r="A59" s="6" t="inlineStr">
        <is>
          <t>VAT receivable (EUR)</t>
        </is>
      </c>
      <c r="B59" s="25">
        <f>'T8 Inputs'!$B$53</f>
        <v/>
      </c>
      <c r="C59" s="25">
        <f>0</f>
        <v/>
      </c>
      <c r="D59" s="25">
        <f>0</f>
        <v/>
      </c>
      <c r="E59" s="25">
        <f>0</f>
        <v/>
      </c>
      <c r="F59" s="25">
        <f>0</f>
        <v/>
      </c>
    </row>
    <row r="60">
      <c r="A60" s="5" t="inlineStr">
        <is>
          <t>Total assets (EUR)</t>
        </is>
      </c>
      <c r="B60" s="25">
        <f>B57+B58+B47+B56+B59</f>
        <v/>
      </c>
      <c r="C60" s="25">
        <f>C57+C58+C47+C56+C59</f>
        <v/>
      </c>
      <c r="D60" s="25">
        <f>D57+D58+D47+D56+D59</f>
        <v/>
      </c>
      <c r="E60" s="25">
        <f>E57+E58+E47+E56+E59</f>
        <v/>
      </c>
      <c r="F60" s="25">
        <f>F57+F58+F47+F56+F59</f>
        <v/>
      </c>
    </row>
    <row r="61">
      <c r="A61" s="6" t="inlineStr">
        <is>
          <t>VAT bridge drawn (EUR)</t>
        </is>
      </c>
      <c r="B61" s="25">
        <f>'T8 Inputs'!$B$53</f>
        <v/>
      </c>
      <c r="C61" s="25">
        <f>0</f>
        <v/>
      </c>
      <c r="D61" s="25">
        <f>0</f>
        <v/>
      </c>
      <c r="E61" s="25">
        <f>0</f>
        <v/>
      </c>
      <c r="F61" s="25">
        <f>0</f>
        <v/>
      </c>
    </row>
    <row r="62">
      <c r="A62" s="6" t="inlineStr">
        <is>
          <t>Total liabilities (EUR)</t>
        </is>
      </c>
      <c r="B62" s="25">
        <f>B34+B61</f>
        <v/>
      </c>
      <c r="C62" s="25">
        <f>C34+C61</f>
        <v/>
      </c>
      <c r="D62" s="25">
        <f>D34+D61</f>
        <v/>
      </c>
      <c r="E62" s="25">
        <f>E34+E61</f>
        <v/>
      </c>
      <c r="F62" s="25">
        <f>F34+F61</f>
        <v/>
      </c>
    </row>
    <row r="63">
      <c r="A63" s="6" t="inlineStr">
        <is>
          <t>Share capital + land in kind (EUR)</t>
        </is>
      </c>
      <c r="B63" s="25">
        <f>'T8 Inputs'!$B$42+'T8 Inputs'!$B$58</f>
        <v/>
      </c>
      <c r="C63" s="25">
        <f>'T8 Inputs'!$B$42+'T8 Inputs'!$B$58</f>
        <v/>
      </c>
      <c r="D63" s="25">
        <f>'T8 Inputs'!$B$42+'T8 Inputs'!$B$58</f>
        <v/>
      </c>
      <c r="E63" s="25">
        <f>'T8 Inputs'!$B$42+'T8 Inputs'!$B$58</f>
        <v/>
      </c>
      <c r="F63" s="25">
        <f>'T8 Inputs'!$B$42+'T8 Inputs'!$B$58</f>
        <v/>
      </c>
    </row>
    <row r="64">
      <c r="A64" s="5" t="inlineStr">
        <is>
          <t>Total equity (EUR)</t>
        </is>
      </c>
      <c r="B64" s="25">
        <f>B63+B54+B55</f>
        <v/>
      </c>
      <c r="C64" s="25">
        <f>C63+C54+C55</f>
        <v/>
      </c>
      <c r="D64" s="25">
        <f>D63+D54+D55</f>
        <v/>
      </c>
      <c r="E64" s="25">
        <f>E63+E54+E55</f>
        <v/>
      </c>
      <c r="F64" s="25">
        <f>F63+F54+F55</f>
        <v/>
      </c>
    </row>
    <row r="65">
      <c r="A65" s="5" t="inlineStr">
        <is>
          <t>Balance-sheet check (EUR)</t>
        </is>
      </c>
      <c r="B65" s="25">
        <f>B60-B62-B64</f>
        <v/>
      </c>
      <c r="C65" s="25">
        <f>C60-C62-C64</f>
        <v/>
      </c>
      <c r="D65" s="25">
        <f>D60-D62-D64</f>
        <v/>
      </c>
      <c r="E65" s="25">
        <f>E60-E62-E64</f>
        <v/>
      </c>
      <c r="F65" s="25">
        <f>F60-F62-F64</f>
        <v/>
      </c>
    </row>
    <row r="66">
      <c r="A66" s="6" t="inlineStr">
        <is>
          <t>FCFF, unlevered (EUR)</t>
        </is>
      </c>
      <c r="B66" s="25">
        <f>B30*(1-'T8 Inputs'!$B$40)+B29-B26</f>
        <v/>
      </c>
      <c r="C66" s="25">
        <f>C30*(1-'T8 Inputs'!$B$40)+C29-C26</f>
        <v/>
      </c>
      <c r="D66" s="25">
        <f>D30*(1-'T8 Inputs'!$B$40)+D29-D26</f>
        <v/>
      </c>
      <c r="E66" s="25">
        <f>E30*(1-'T8 Inputs'!$B$40)+E29-E26</f>
        <v/>
      </c>
      <c r="F66" s="25">
        <f>F30*(1-'T8 Inputs'!$B$40)+F29-F26</f>
        <v/>
      </c>
    </row>
    <row r="67">
      <c r="A67" s="6" t="inlineStr">
        <is>
          <t>FCFE, proper (EUR)</t>
        </is>
      </c>
      <c r="B67" s="25">
        <f>B42+B29-B26-B33</f>
        <v/>
      </c>
      <c r="C67" s="25">
        <f>C42+C29-C26-C33</f>
        <v/>
      </c>
      <c r="D67" s="25">
        <f>D42+D29-D26-D33</f>
        <v/>
      </c>
      <c r="E67" s="25">
        <f>E42+E29-E26-E33</f>
        <v/>
      </c>
      <c r="F67" s="25">
        <f>F42+F29-F26-F33</f>
        <v/>
      </c>
    </row>
    <row r="70">
      <c r="A70" s="3" t="inlineStr">
        <is>
          <t>CHECKS: LIVE T8 MODEL VS. PYTHON ENGINE</t>
        </is>
      </c>
    </row>
    <row r="71">
      <c r="A71" s="4" t="inlineStr">
        <is>
          <t>Check</t>
        </is>
      </c>
      <c r="B71" s="4" t="inlineStr">
        <is>
          <t>Python</t>
        </is>
      </c>
      <c r="C71" s="4" t="inlineStr">
        <is>
          <t>Live</t>
        </is>
      </c>
      <c r="D71" s="4" t="inlineStr">
        <is>
          <t>Difference</t>
        </is>
      </c>
      <c r="E71" s="4" t="inlineStr">
        <is>
          <t>Status</t>
        </is>
      </c>
    </row>
    <row r="72">
      <c r="A72" s="5" t="inlineStr">
        <is>
          <t>Revenue Year 1 (EUR)</t>
        </is>
      </c>
      <c r="B72" s="25" t="n">
        <v>304006</v>
      </c>
      <c r="C72" s="25">
        <f>B13</f>
        <v/>
      </c>
      <c r="D72" s="25">
        <f>C72-B72</f>
        <v/>
      </c>
      <c r="E72" s="10">
        <f>IF(ABS(D72)&lt;=1.0,"PASS","FAIL")</f>
        <v/>
      </c>
    </row>
    <row r="73">
      <c r="A73" s="5" t="inlineStr">
        <is>
          <t>Revenue Year 3 (EUR)</t>
        </is>
      </c>
      <c r="B73" s="25" t="n">
        <v>358062</v>
      </c>
      <c r="C73" s="25">
        <f>D13</f>
        <v/>
      </c>
      <c r="D73" s="25">
        <f>C73-B73</f>
        <v/>
      </c>
      <c r="E73" s="10">
        <f>IF(ABS(D73)&lt;=1.0,"PASS","FAIL")</f>
        <v/>
      </c>
    </row>
    <row r="74">
      <c r="A74" s="5" t="inlineStr">
        <is>
          <t>EBITDA Year 1 (EUR)</t>
        </is>
      </c>
      <c r="B74" s="25" t="n">
        <v>78943.11</v>
      </c>
      <c r="C74" s="25">
        <f>B25</f>
        <v/>
      </c>
      <c r="D74" s="25">
        <f>C74-B74</f>
        <v/>
      </c>
      <c r="E74" s="10">
        <f>IF(ABS(D74)&lt;=1.0,"PASS","FAIL")</f>
        <v/>
      </c>
    </row>
    <row r="75">
      <c r="A75" s="5" t="inlineStr">
        <is>
          <t>EBITDA Year 3 (EUR)</t>
        </is>
      </c>
      <c r="B75" s="25" t="n">
        <v>110190.6</v>
      </c>
      <c r="C75" s="25">
        <f>D25</f>
        <v/>
      </c>
      <c r="D75" s="25">
        <f>C75-B75</f>
        <v/>
      </c>
      <c r="E75" s="10">
        <f>IF(ABS(D75)&lt;=1.0,"PASS","FAIL")</f>
        <v/>
      </c>
    </row>
    <row r="76">
      <c r="A76" s="5" t="inlineStr">
        <is>
          <t>Net income Year 1 (EUR)</t>
        </is>
      </c>
      <c r="B76" s="25" t="n">
        <v>12592.97</v>
      </c>
      <c r="C76" s="25">
        <f>B42</f>
        <v/>
      </c>
      <c r="D76" s="25">
        <f>C76-B76</f>
        <v/>
      </c>
      <c r="E76" s="10">
        <f>IF(ABS(D76)&lt;=1.0,"PASS","FAIL")</f>
        <v/>
      </c>
    </row>
    <row r="77">
      <c r="A77" s="5" t="inlineStr">
        <is>
          <t>Ending cash Year 1 (EUR)</t>
        </is>
      </c>
      <c r="B77" s="25" t="n">
        <v>52800.76</v>
      </c>
      <c r="C77" s="25">
        <f>B47</f>
        <v/>
      </c>
      <c r="D77" s="25">
        <f>C77-B77</f>
        <v/>
      </c>
      <c r="E77" s="10">
        <f>IF(ABS(D77)&lt;=1.0,"PASS","FAIL")</f>
        <v/>
      </c>
    </row>
    <row r="78">
      <c r="A78" s="5" t="inlineStr">
        <is>
          <t>Ending cash Year 2 (EUR)</t>
        </is>
      </c>
      <c r="B78" s="25" t="n">
        <v>94558.06</v>
      </c>
      <c r="C78" s="25">
        <f>C47</f>
        <v/>
      </c>
      <c r="D78" s="25">
        <f>C78-B78</f>
        <v/>
      </c>
      <c r="E78" s="10">
        <f>IF(ABS(D78)&lt;=1.0,"PASS","FAIL")</f>
        <v/>
      </c>
    </row>
    <row r="79">
      <c r="A79" s="5" t="inlineStr">
        <is>
          <t>DSCR Year 2 - binding year (x)</t>
        </is>
      </c>
      <c r="B79" s="26" t="n">
        <v>2.31</v>
      </c>
      <c r="C79" s="26">
        <f>C50</f>
        <v/>
      </c>
      <c r="D79" s="26">
        <f>C79-B79</f>
        <v/>
      </c>
      <c r="E79" s="10">
        <f>IF(ABS(D79)&lt;=0.01,"PASS","FAIL")</f>
        <v/>
      </c>
    </row>
    <row r="80">
      <c r="A80" s="5" t="inlineStr">
        <is>
          <t>Minimum DSCR Years 1-5 (x)</t>
        </is>
      </c>
      <c r="B80" s="26" t="n">
        <v>2.31</v>
      </c>
      <c r="C80" s="26">
        <f>MIN(B50:F50)</f>
        <v/>
      </c>
      <c r="D80" s="26">
        <f>C80-B80</f>
        <v/>
      </c>
      <c r="E80" s="10">
        <f>IF(ABS(D80)&lt;=0.01,"PASS","FAIL")</f>
        <v/>
      </c>
    </row>
    <row r="81">
      <c r="A81" s="5" t="inlineStr">
        <is>
          <t>Maximum balance-sheet discrepancy (EUR)</t>
        </is>
      </c>
      <c r="B81" s="25" t="n">
        <v>0</v>
      </c>
      <c r="C81" s="25">
        <f>MAX(ABS(B65),ABS(C65),ABS(D65),ABS(E65),ABS(F65))</f>
        <v/>
      </c>
      <c r="D81" s="25">
        <f>C81-B81</f>
        <v/>
      </c>
      <c r="E81" s="10">
        <f>IF(ABS(D81)&lt;=1.0,"PASS","FAIL")</f>
        <v/>
      </c>
    </row>
    <row r="82">
      <c r="A82" s="5" t="inlineStr">
        <is>
          <t>Covenant test: minimum DSCR &gt;= target DSCR</t>
        </is>
      </c>
      <c r="D82" s="26">
        <f>MIN(B50:F50)</f>
        <v/>
      </c>
      <c r="E82" s="10">
        <f>IF(D82&gt;='T8 Inputs'!$B$55,"PASS","FAIL")</f>
        <v/>
      </c>
    </row>
    <row r="86">
      <c r="A86" s="3" t="inlineStr">
        <is>
          <t>RETURNS - EXIT AT 8.5% CAP RATE, 3% SELLING COSTS</t>
        </is>
      </c>
    </row>
    <row r="87">
      <c r="A87" s="6" t="inlineStr">
        <is>
          <t>Exit-year EBITDA (EUR)</t>
        </is>
      </c>
      <c r="B87" s="25">
        <f>F25</f>
        <v/>
      </c>
    </row>
    <row r="88">
      <c r="A88" s="6" t="inlineStr">
        <is>
          <t>Gross terminal value (EUR)</t>
        </is>
      </c>
      <c r="B88" s="25">
        <f>MAX(0,B87/'T8 Inputs'!$B$60)</f>
        <v/>
      </c>
    </row>
    <row r="89">
      <c r="A89" s="6" t="inlineStr">
        <is>
          <t>Net terminal value after 3% costs (EUR)</t>
        </is>
      </c>
      <c r="B89" s="25">
        <f>B88*(1-'T8 Inputs'!$B$61)</f>
        <v/>
      </c>
    </row>
    <row r="90">
      <c r="A90" s="6" t="inlineStr">
        <is>
          <t>Ending debt (EUR)</t>
        </is>
      </c>
      <c r="B90" s="25">
        <f>F34</f>
        <v/>
      </c>
    </row>
    <row r="91">
      <c r="A91" s="6" t="inlineStr">
        <is>
          <t>Net equity proceeds (EUR)</t>
        </is>
      </c>
      <c r="B91" s="25">
        <f>MAX(0,B89-B90)</f>
        <v/>
      </c>
    </row>
    <row r="99">
      <c r="A99" s="4" t="inlineStr">
        <is>
          <t>Year</t>
        </is>
      </c>
      <c r="B99" s="4" t="inlineStr">
        <is>
          <t>0</t>
        </is>
      </c>
      <c r="C99" s="4" t="inlineStr">
        <is>
          <t>1</t>
        </is>
      </c>
      <c r="D99" s="4" t="inlineStr">
        <is>
          <t>2</t>
        </is>
      </c>
      <c r="E99" s="4" t="inlineStr">
        <is>
          <t>3</t>
        </is>
      </c>
      <c r="F99" s="4" t="inlineStr">
        <is>
          <t>4</t>
        </is>
      </c>
      <c r="G99" s="4" t="inlineStr">
        <is>
          <t>5</t>
        </is>
      </c>
    </row>
    <row r="100">
      <c r="A100" s="5" t="inlineStr">
        <is>
          <t>Project cash flow - all-in</t>
        </is>
      </c>
      <c r="B100" s="90" t="n">
        <v>-952504.8199999999</v>
      </c>
      <c r="C100" s="90">
        <f>B66</f>
        <v/>
      </c>
      <c r="D100" s="90">
        <f>C66</f>
        <v/>
      </c>
      <c r="E100" s="90">
        <f>D66</f>
        <v/>
      </c>
      <c r="F100" s="90">
        <f>E66</f>
        <v/>
      </c>
      <c r="G100" s="90">
        <f>=F66+$B$89</f>
        <v/>
      </c>
    </row>
    <row r="101">
      <c r="A101" s="5" t="inlineStr">
        <is>
          <t>Project cash flow - cash basis</t>
        </is>
      </c>
      <c r="B101" s="25" t="n">
        <v>-702504.8199999999</v>
      </c>
      <c r="C101" s="25">
        <f>B66</f>
        <v/>
      </c>
      <c r="D101" s="25">
        <f>C66</f>
        <v/>
      </c>
      <c r="E101" s="25">
        <f>D66</f>
        <v/>
      </c>
      <c r="F101" s="25">
        <f>E66</f>
        <v/>
      </c>
      <c r="G101" s="25">
        <f>=F66+$B$89</f>
        <v/>
      </c>
    </row>
    <row r="102">
      <c r="A102" s="6" t="inlineStr">
        <is>
          <t>Equity cash flow - all-in</t>
        </is>
      </c>
      <c r="B102" s="25" t="n">
        <v>-502504.82</v>
      </c>
      <c r="C102" s="25">
        <f>B67</f>
        <v/>
      </c>
      <c r="D102" s="25">
        <f>C67</f>
        <v/>
      </c>
      <c r="E102" s="25">
        <f>D67</f>
        <v/>
      </c>
      <c r="F102" s="25">
        <f>E67</f>
        <v/>
      </c>
      <c r="G102" s="25">
        <f>=F67+$B$91</f>
        <v/>
      </c>
    </row>
    <row r="103">
      <c r="A103" s="6" t="inlineStr">
        <is>
          <t>Equity cash flow - cash basis</t>
        </is>
      </c>
      <c r="B103" s="25" t="n">
        <v>-252504.82</v>
      </c>
      <c r="C103" s="25">
        <f>B67</f>
        <v/>
      </c>
      <c r="D103" s="25">
        <f>C67</f>
        <v/>
      </c>
      <c r="E103" s="25">
        <f>D67</f>
        <v/>
      </c>
      <c r="F103" s="25">
        <f>E67</f>
        <v/>
      </c>
      <c r="G103" s="25">
        <f>=F67+$B$91</f>
        <v/>
      </c>
    </row>
    <row r="105">
      <c r="A105" s="3" t="inlineStr">
        <is>
          <t>IRR / NPV</t>
        </is>
      </c>
    </row>
    <row r="106">
      <c r="A106" s="6" t="inlineStr">
        <is>
          <t>Project IRR - all-in</t>
        </is>
      </c>
      <c r="B106" s="91">
        <f>IRR(B100:G100)</f>
        <v/>
      </c>
    </row>
    <row r="107">
      <c r="A107" s="6" t="inlineStr">
        <is>
          <t>Project IRR - cash</t>
        </is>
      </c>
      <c r="B107" s="91">
        <f>IRR(B101:G101)</f>
        <v/>
      </c>
    </row>
    <row r="108">
      <c r="A108" s="6" t="inlineStr">
        <is>
          <t>Equity IRR - all-in</t>
        </is>
      </c>
      <c r="B108" s="91">
        <f>IRR(B102:G102)</f>
        <v/>
      </c>
    </row>
    <row r="109">
      <c r="A109" s="6" t="inlineStr">
        <is>
          <t>Equity IRR - cash</t>
        </is>
      </c>
      <c r="B109" s="91">
        <f>IRR(B103:G103)</f>
        <v/>
      </c>
    </row>
    <row r="110">
      <c r="A110" s="6" t="inlineStr">
        <is>
          <t>Project NPV - all-in</t>
        </is>
      </c>
      <c r="B110" s="29">
        <f>B100+NPV('T8 Inputs'!$B$62,C100:G100)</f>
        <v/>
      </c>
    </row>
    <row r="111">
      <c r="A111" s="6" t="inlineStr">
        <is>
          <t>Project NPV - cash</t>
        </is>
      </c>
      <c r="B111" s="29">
        <f>B101+NPV('T8 Inputs'!$B$62,C101:G101)</f>
        <v/>
      </c>
    </row>
    <row r="112">
      <c r="A112" s="6" t="inlineStr">
        <is>
          <t>Equity NPV - all-in</t>
        </is>
      </c>
      <c r="B112" s="29">
        <f>B102+NPV('T8 Inputs'!$B$62,C102:G102)</f>
        <v/>
      </c>
    </row>
    <row r="113">
      <c r="A113" s="6" t="inlineStr">
        <is>
          <t>Equity NPV - cash</t>
        </is>
      </c>
      <c r="B113" s="29">
        <f>B103+NPV('T8 Inputs'!$B$62,C103:G103)</f>
        <v/>
      </c>
    </row>
    <row r="114">
      <c r="A114" s="4" t="inlineStr">
        <is>
          <t>Python reference</t>
        </is>
      </c>
      <c r="B114" s="4" t="inlineStr">
        <is>
          <t>Value</t>
        </is>
      </c>
    </row>
    <row r="115">
      <c r="A115" s="6" t="inlineStr">
        <is>
          <t>Project IRR - all-in (Python)</t>
        </is>
      </c>
      <c r="B115" s="23" t="n">
        <v>0.126045</v>
      </c>
    </row>
    <row r="116">
      <c r="A116" s="6" t="inlineStr">
        <is>
          <t>Project IRR - cash (Python)</t>
        </is>
      </c>
      <c r="B116" s="23" t="n">
        <v>0.207046</v>
      </c>
    </row>
    <row r="117">
      <c r="A117" s="6" t="inlineStr">
        <is>
          <t>Equity IRR - all-in (Python)</t>
        </is>
      </c>
      <c r="B117" s="23" t="n">
        <v>0.189538</v>
      </c>
    </row>
    <row r="118">
      <c r="A118" s="6" t="inlineStr">
        <is>
          <t>Equity IRR - cash (Python)</t>
        </is>
      </c>
      <c r="B118" s="23" t="n">
        <v>0.397401</v>
      </c>
    </row>
    <row r="119">
      <c r="A119" s="6" t="inlineStr">
        <is>
          <t>Project NPV - all-in (Python)</t>
        </is>
      </c>
      <c r="B119" s="25" t="n">
        <v>148550.85</v>
      </c>
    </row>
    <row r="120">
      <c r="A120" s="6" t="inlineStr">
        <is>
          <t>Project NPV - cash (Python)</t>
        </is>
      </c>
      <c r="B120" s="25" t="n">
        <v>398550.85</v>
      </c>
    </row>
    <row r="122" ht="32" customHeight="1">
      <c r="A122" s="12" t="inlineStr">
        <is>
          <t>Note: the all-in basis adds the EUR 250,000 land contributed in kind; the cash basis excludes it. The EUR 130,536 VAT bridge is a balance-sheet item, not part of the investment base or of operating cash flow.</t>
        </is>
      </c>
    </row>
  </sheetData>
  <mergeCells count="1">
    <mergeCell ref="A122:F1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Jaime Pérez</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Jaime Pérez</cp:lastModifiedBy>
</cp:coreProperties>
</file>